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27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40960b92159ea93/Documents/"/>
    </mc:Choice>
  </mc:AlternateContent>
  <xr:revisionPtr revIDLastSave="1" documentId="13_ncr:1_{D18D3703-A77A-456D-A1E9-1A8B3EF6EE68}" xr6:coauthVersionLast="47" xr6:coauthVersionMax="47" xr10:uidLastSave="{3CA86852-DB03-40FF-A0C3-CF76A05F0489}"/>
  <bookViews>
    <workbookView xWindow="-120" yWindow="-120" windowWidth="29040" windowHeight="15840" xr2:uid="{00000000-000D-0000-FFFF-FFFF00000000}"/>
  </bookViews>
  <sheets>
    <sheet name="Stock Analysis" sheetId="1" r:id="rId1"/>
    <sheet name="Sheet1" sheetId="4" r:id="rId2"/>
    <sheet name="DataBase" sheetId="3" r:id="rId3"/>
    <sheet name="Portfolio Management" sheetId="2" r:id="rId4"/>
  </sheets>
  <functionGroups builtInGroupCount="19"/>
  <definedNames>
    <definedName name="_xlnm._FilterDatabase" localSheetId="2" hidden="1">DataBase!$A$1:$B$4590</definedName>
    <definedName name="ABOUT_Focus">'Stock Analysis'!$F$2</definedName>
    <definedName name="AnalysisView">'Stock Analysis'!$B$4</definedName>
    <definedName name="ANNUALREPORTS_Focus">'Stock Analysis'!$O$49</definedName>
    <definedName name="BALSHEET_Focus">'Stock Analysis'!$V$46</definedName>
    <definedName name="BALSHEET_Table">'Stock Analysis'!$V$46:$AL$122</definedName>
    <definedName name="CASHFLOWS_Focus">'Stock Analysis'!$V$182</definedName>
    <definedName name="CASHFLOWS_Table">'Stock Analysis'!$V$182:$AL$220</definedName>
    <definedName name="DIVIDEND_YELID">'Stock Analysis'!$B$9</definedName>
    <definedName name="FORMAT_o_Statements">'Stock Analysis'!$B$3</definedName>
    <definedName name="INCOMESTATEMENT_Focus">'Stock Analysis'!$V$134</definedName>
    <definedName name="INCOMESTATEMENT_Table">'Stock Analysis'!$V$134:$AL$170</definedName>
    <definedName name="MARKETCAP">'Stock Analysis'!$B$6</definedName>
    <definedName name="NEWS_Focus">'Stock Analysis'!$F$15</definedName>
    <definedName name="OVERVIEWFOCUS">'Stock Analysis'!$F$63</definedName>
    <definedName name="PE">'Stock Analysis'!$B$7</definedName>
    <definedName name="PEERS_Focus">'Stock Analysis'!$F$27</definedName>
    <definedName name="PEERS_Table">'Stock Analysis'!$F$27:$R$38</definedName>
    <definedName name="QUARTERS_Focus">'Stock Analysis'!$V$2</definedName>
    <definedName name="QUARTERS_Table">'Stock Analysis'!$V$2:$AL$34</definedName>
    <definedName name="RATIOS_Focus">'Stock Analysis'!$V$232</definedName>
    <definedName name="ROE">'Stock Analysis'!$B$10</definedName>
    <definedName name="SEARCHBOX">'Stock Analysis'!$A$1</definedName>
    <definedName name="SECTOR">'Stock Analysis'!$A$2:$B$2</definedName>
    <definedName name="SECTORPE">'Stock Analysis'!$B$8</definedName>
    <definedName name="SHAREHOLDINGS_Focus">'Stock Analysis'!$F$49</definedName>
    <definedName name="STOCKPRICE">'Stock Analysis'!$B$5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<sst xmlns="http://schemas.openxmlformats.org/spreadsheetml/2006/main" count="188" uniqueCount="157">
  <si>
    <t>Stock Price</t>
  </si>
  <si>
    <t>TOP PLAYERS</t>
  </si>
  <si>
    <t xml:space="preserve">TCS </t>
  </si>
  <si>
    <t xml:space="preserve">Infosys </t>
  </si>
  <si>
    <t xml:space="preserve">LTIMindtree </t>
  </si>
  <si>
    <t xml:space="preserve">HCL Technologies </t>
  </si>
  <si>
    <t xml:space="preserve">Persistent Sys </t>
  </si>
  <si>
    <t xml:space="preserve">Wipro </t>
  </si>
  <si>
    <t xml:space="preserve">Tech Mahindra </t>
  </si>
  <si>
    <t xml:space="preserve"> </t>
  </si>
  <si>
    <t xml:space="preserve">Name </t>
  </si>
  <si>
    <t xml:space="preserve">CMP Rs. </t>
  </si>
  <si>
    <t xml:space="preserve">P/E  </t>
  </si>
  <si>
    <t xml:space="preserve">Mar Cap Rs.Cr. </t>
  </si>
  <si>
    <t xml:space="preserve">Div Yld % </t>
  </si>
  <si>
    <t xml:space="preserve">NP Qtr Rs.Cr. </t>
  </si>
  <si>
    <t xml:space="preserve">Qtr Profit Var % </t>
  </si>
  <si>
    <t xml:space="preserve">Sales Qtr Rs.Cr. </t>
  </si>
  <si>
    <t xml:space="preserve">Qtr Sales Var % </t>
  </si>
  <si>
    <t xml:space="preserve">ROCE % </t>
  </si>
  <si>
    <t>PE Ratio</t>
  </si>
  <si>
    <t>Sector PE</t>
  </si>
  <si>
    <t>Quarterly Results</t>
  </si>
  <si>
    <t xml:space="preserve">Operating Profit </t>
  </si>
  <si>
    <t xml:space="preserve">OPM % </t>
  </si>
  <si>
    <t xml:space="preserve">Interest </t>
  </si>
  <si>
    <t xml:space="preserve">Depreciation </t>
  </si>
  <si>
    <t xml:space="preserve">Profit before tax </t>
  </si>
  <si>
    <t xml:space="preserve">Tax % </t>
  </si>
  <si>
    <t xml:space="preserve">EPS in Rs </t>
  </si>
  <si>
    <t>Balance Sheet</t>
  </si>
  <si>
    <t>Income Statements</t>
  </si>
  <si>
    <t xml:space="preserve">Sales -  </t>
  </si>
  <si>
    <t xml:space="preserve">Expenses -  </t>
  </si>
  <si>
    <t>Employee Cost %</t>
  </si>
  <si>
    <t xml:space="preserve">Other Income -  </t>
  </si>
  <si>
    <t>Exceptional items</t>
  </si>
  <si>
    <t>Other income normal</t>
  </si>
  <si>
    <t xml:space="preserve">Net Profit -  </t>
  </si>
  <si>
    <t>Profit after tax</t>
  </si>
  <si>
    <t>Reported Net Profit</t>
  </si>
  <si>
    <t>Profit for EPS</t>
  </si>
  <si>
    <t>Exceptional items AT</t>
  </si>
  <si>
    <t>Profit for PE</t>
  </si>
  <si>
    <t>CashFlows</t>
  </si>
  <si>
    <t xml:space="preserve">Net Cash Flow </t>
  </si>
  <si>
    <t xml:space="preserve">Cash from Operating Activity -  </t>
  </si>
  <si>
    <t>Profit from operations</t>
  </si>
  <si>
    <t>Other WC items</t>
  </si>
  <si>
    <t>Working capital changes</t>
  </si>
  <si>
    <t>Direct taxes</t>
  </si>
  <si>
    <t xml:space="preserve">Cash from Investing Activity -  </t>
  </si>
  <si>
    <t>Fixed assets purchased</t>
  </si>
  <si>
    <t>Fixed assets sold</t>
  </si>
  <si>
    <t>Interest received</t>
  </si>
  <si>
    <t>Other investing items</t>
  </si>
  <si>
    <t xml:space="preserve">Cash from Financing Activity -  </t>
  </si>
  <si>
    <t>Dividends paid</t>
  </si>
  <si>
    <t>Other financing items</t>
  </si>
  <si>
    <t>Dividend Yeild</t>
  </si>
  <si>
    <t>Market Capital</t>
  </si>
  <si>
    <t>Visit</t>
  </si>
  <si>
    <t>Top Players</t>
  </si>
  <si>
    <t>Income Statement</t>
  </si>
  <si>
    <t>Cash Flows</t>
  </si>
  <si>
    <t>News</t>
  </si>
  <si>
    <t>About Co.</t>
  </si>
  <si>
    <t>Pros</t>
  </si>
  <si>
    <t>Cons</t>
  </si>
  <si>
    <t>About</t>
  </si>
  <si>
    <t>id="modal-9445a0830ae39"</t>
  </si>
  <si>
    <t>Investments purchased</t>
  </si>
  <si>
    <t>Investments sold</t>
  </si>
  <si>
    <t>Proceeds from shares</t>
  </si>
  <si>
    <t>Home</t>
  </si>
  <si>
    <t>Financial View</t>
  </si>
  <si>
    <t>Self Pros and cons</t>
  </si>
  <si>
    <t>Annual Report 4-5 yrs</t>
  </si>
  <si>
    <t>Credit Ratings</t>
  </si>
  <si>
    <t>Announcements</t>
  </si>
  <si>
    <t>Dividends received</t>
  </si>
  <si>
    <t>[1]</t>
  </si>
  <si>
    <t>ROE</t>
  </si>
  <si>
    <t>--</t>
  </si>
  <si>
    <t>YOY Sales Growth %</t>
  </si>
  <si>
    <t>Raw PDF</t>
  </si>
  <si>
    <t>Click Here</t>
  </si>
  <si>
    <t>ShareHolding Pattern</t>
  </si>
  <si>
    <t>TCS</t>
  </si>
  <si>
    <t>Tata Consultancy Services is the flagship company and a part of Tata group</t>
  </si>
  <si>
    <t>It is an IT services, consulting and business solutions organization that has been partnering with many of the world's largest businesses in their transformation journeys for over 50 years</t>
  </si>
  <si>
    <t>TCS offers a consulting-led, cognitive powered, integrated portfolio of business, technology and engineering services and solutions</t>
  </si>
  <si>
    <t>Minority share</t>
  </si>
  <si>
    <t>Receivables</t>
  </si>
  <si>
    <t>Inventory</t>
  </si>
  <si>
    <t>Payables</t>
  </si>
  <si>
    <t>Loans Advances</t>
  </si>
  <si>
    <t>Acquisition of companies</t>
  </si>
  <si>
    <t>Inter corporate deposits</t>
  </si>
  <si>
    <t>Proceeds from borrowings</t>
  </si>
  <si>
    <t>Repayment of borrowings</t>
  </si>
  <si>
    <t>Interest paid fin</t>
  </si>
  <si>
    <t>Financial liabilities</t>
  </si>
  <si>
    <t>Median: 9 Co.</t>
  </si>
  <si>
    <t>IT - Software</t>
  </si>
  <si>
    <t>Category</t>
  </si>
  <si>
    <t>Promoters</t>
  </si>
  <si>
    <t>Pledge</t>
  </si>
  <si>
    <t>FII</t>
  </si>
  <si>
    <t>DII</t>
  </si>
  <si>
    <t>Mutual Funds</t>
  </si>
  <si>
    <t>Others</t>
  </si>
  <si>
    <t>Annual Reports</t>
  </si>
  <si>
    <t>Customization</t>
  </si>
  <si>
    <t>Average</t>
  </si>
  <si>
    <t>Ratios</t>
  </si>
  <si>
    <t>Include</t>
  </si>
  <si>
    <t>No</t>
  </si>
  <si>
    <t>Analysis View</t>
  </si>
  <si>
    <t>Data Analyzed</t>
  </si>
  <si>
    <t>Gravity</t>
  </si>
  <si>
    <t>Remarks</t>
  </si>
  <si>
    <t>Expected Value</t>
  </si>
  <si>
    <t>Reserves (%)</t>
  </si>
  <si>
    <t>Reserves BreakDown (%)</t>
  </si>
  <si>
    <t>Reserves to Equity Capital (X)</t>
  </si>
  <si>
    <t>Debt to Equity (X)</t>
  </si>
  <si>
    <t>Long Term Debt (%)</t>
  </si>
  <si>
    <t>ShortTerm Debt (%)</t>
  </si>
  <si>
    <t>Cash And Cash Equivalents (%)</t>
  </si>
  <si>
    <t>Inventories (%)</t>
  </si>
  <si>
    <t>Total Current Assets (%)</t>
  </si>
  <si>
    <t>Total Current Liabilities (%)</t>
  </si>
  <si>
    <t>Total Non-Current Liabilities (%)</t>
  </si>
  <si>
    <t>Sales (%)</t>
  </si>
  <si>
    <t>Revenue From Operations [Gross] (%)</t>
  </si>
  <si>
    <t>Revenue From Operations [Net] (%)</t>
  </si>
  <si>
    <t>Total Operating Revenues (%)</t>
  </si>
  <si>
    <t>Total Revenue (%)</t>
  </si>
  <si>
    <t>Operating And Direct Expenses (%)</t>
  </si>
  <si>
    <t>Interest Expenses (%)</t>
  </si>
  <si>
    <t>Depreciation And Amortisation Expenses (%)</t>
  </si>
  <si>
    <t>Total Tax Expenses (%)</t>
  </si>
  <si>
    <t>Total Operating Expenses (%)</t>
  </si>
  <si>
    <t>EBITDA (%)</t>
  </si>
  <si>
    <t>Operating Profit (%)</t>
  </si>
  <si>
    <t>Profit Before Tax (%)</t>
  </si>
  <si>
    <t>Net Income (%)</t>
  </si>
  <si>
    <t>Net CashFlow From Operating Activities (%)</t>
  </si>
  <si>
    <t>Capital Expenditure (%)</t>
  </si>
  <si>
    <t>Free CashFlows (%)</t>
  </si>
  <si>
    <t>Net Cash Used In Investing Activities (%)</t>
  </si>
  <si>
    <t>Net Cash Used From Financing Activities (%)</t>
  </si>
  <si>
    <t>Custom Ratios</t>
  </si>
  <si>
    <t>Quarterly</t>
  </si>
  <si>
    <t xml:space="preserve"> Financial Year 2020 _x000D_
from bse </t>
  </si>
  <si>
    <t>Overview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</si>
</sst>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1F1F1F"/>
      <name val="Courier New"/>
      <family val="3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8">
    <xf numFmtId="0" fontId="0" fillId="0" borderId="0" xfId="0"/>
    <xf numFmtId="4" fontId="0" fillId="0" borderId="0" xfId="0" applyNumberFormat="1"/>
    <xf numFmtId="3" fontId="0" fillId="0" borderId="0" xfId="0" applyNumberFormat="1"/>
    <xf numFmtId="0" fontId="1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" xfId="0" applyBorder="1"/>
    <xf numFmtId="0" fontId="2" fillId="0" borderId="0" xfId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10" xfId="0" applyFill="1" applyBorder="1"/>
    <xf numFmtId="0" fontId="0" fillId="2" borderId="11" xfId="0" applyFill="1" applyBorder="1"/>
    <xf numFmtId="17" fontId="0" fillId="0" borderId="2" xfId="0" applyNumberFormat="1" applyBorder="1"/>
    <xf numFmtId="9" fontId="0" fillId="0" borderId="0" xfId="0" applyNumberFormat="1"/>
    <xf numFmtId="0" fontId="2" fillId="0" borderId="0" xfId="1" applyBorder="1"/>
    <xf numFmtId="0" fontId="2" fillId="0" borderId="4" xfId="1" applyBorder="1"/>
    <xf numFmtId="17" fontId="0" fillId="0" borderId="0" xfId="0" applyNumberFormat="1"/>
    <xf numFmtId="3" fontId="2" fillId="0" borderId="0" xfId="1" applyNumberFormat="1" applyBorder="1"/>
    <xf numFmtId="9" fontId="2" fillId="0" borderId="0" xfId="1" applyNumberFormat="1" applyBorder="1"/>
    <xf numFmtId="17" fontId="0" fillId="2" borderId="11" xfId="0" applyNumberFormat="1" applyFill="1" applyBorder="1"/>
    <xf numFmtId="3" fontId="0" fillId="2" borderId="11" xfId="0" applyNumberFormat="1" applyFill="1" applyBorder="1"/>
    <xf numFmtId="9" fontId="0" fillId="2" borderId="11" xfId="0" applyNumberFormat="1" applyFill="1" applyBorder="1"/>
    <xf numFmtId="10" fontId="0" fillId="0" borderId="0" xfId="0" applyNumberFormat="1"/>
    <xf numFmtId="3" fontId="2" fillId="0" borderId="0" xfId="1" applyNumberFormat="1"/>
    <xf numFmtId="0" fontId="0" fillId="2" borderId="4" xfId="0" applyFill="1" applyBorder="1"/>
    <xf numFmtId="17" fontId="2" fillId="0" borderId="0" xfId="1" applyNumberFormat="1"/>
    <xf numFmtId="0" fontId="1" fillId="0" borderId="0" xfId="0" applyFont="1" applyAlignment="1">
      <alignment horizontal="center" wrapText="1"/>
    </xf>
    <xf numFmtId="0" fontId="2" fillId="0" borderId="0" xfId="1" applyBorder="1" applyAlignment="1">
      <alignment horizontal="left"/>
    </xf>
    <xf numFmtId="10" fontId="0" fillId="0" borderId="0" xfId="0" applyNumberFormat="1" applyAlignment="1">
      <alignment horizontal="center"/>
    </xf>
    <xf numFmtId="0" fontId="3" fillId="0" borderId="0" xfId="0" applyFont="1"/>
    <xf numFmtId="0" fontId="2" fillId="0" borderId="0" xfId="1" applyAlignment="1">
      <alignment horizontal="center"/>
    </xf>
    <xf numFmtId="15" fontId="0" fillId="0" borderId="0" xfId="0" applyNumberFormat="1"/>
    <xf numFmtId="0" fontId="4" fillId="0" borderId="0" xfId="0" applyFont="1"/>
    <xf numFmtId="0" fontId="2" fillId="0" borderId="0" xfId="1" applyAlignment="1">
      <alignment wrapText="1"/>
    </xf>
    <xf numFmtId="0" fontId="1" fillId="0" borderId="9" xfId="0" applyFont="1" applyBorder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2"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44EC1C"/>
      <color rgb="FFC8405D"/>
      <color rgb="FF16D41F"/>
      <color rgb="FF18E222"/>
      <color rgb="FF30D894"/>
      <color rgb="FF1DEB98"/>
      <color rgb="FF20E8B4"/>
      <color rgb="FFE0F8F7"/>
      <color rgb="FF8AE6E4"/>
      <color rgb="FF7CDA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0</xdr:row>
      <xdr:rowOff>38100</xdr:rowOff>
    </xdr:from>
    <xdr:to>
      <xdr:col>2</xdr:col>
      <xdr:colOff>1190625</xdr:colOff>
      <xdr:row>1</xdr:row>
      <xdr:rowOff>161925</xdr:rowOff>
    </xdr:to>
    <xdr:sp macro="[0]!WebScrap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DA50DDF-CBA8-10B1-9DB8-CA4CA3FBD55A}"/>
            </a:ext>
          </a:extLst>
        </xdr:cNvPr>
        <xdr:cNvSpPr/>
      </xdr:nvSpPr>
      <xdr:spPr>
        <a:xfrm>
          <a:off x="2609850" y="38100"/>
          <a:ext cx="1162050" cy="314325"/>
        </a:xfrm>
        <a:prstGeom prst="roundRect">
          <a:avLst/>
        </a:prstGeom>
        <a:gradFill flip="none" rotWithShape="1">
          <a:gsLst>
            <a:gs pos="0">
              <a:srgbClr val="B7EBFB"/>
            </a:gs>
            <a:gs pos="100000">
              <a:srgbClr val="00B0F0"/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Analyze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128586</xdr:colOff>
      <xdr:row>2</xdr:row>
      <xdr:rowOff>52387</xdr:rowOff>
    </xdr:from>
    <xdr:to>
      <xdr:col>19</xdr:col>
      <xdr:colOff>533399</xdr:colOff>
      <xdr:row>4</xdr:row>
      <xdr:rowOff>38100</xdr:rowOff>
    </xdr:to>
    <xdr:sp macro="[0]!_xlnm.Databas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BF88B01-1B21-27AA-810C-5F14C189D794}"/>
            </a:ext>
          </a:extLst>
        </xdr:cNvPr>
        <xdr:cNvSpPr/>
      </xdr:nvSpPr>
      <xdr:spPr>
        <a:xfrm>
          <a:off x="11101386" y="433387"/>
          <a:ext cx="1014413" cy="366713"/>
        </a:xfrm>
        <a:prstGeom prst="roundRect">
          <a:avLst/>
        </a:prstGeom>
        <a:gradFill flip="none" rotWithShape="1">
          <a:gsLst>
            <a:gs pos="0">
              <a:srgbClr val="17E9DF"/>
            </a:gs>
            <a:gs pos="50000">
              <a:srgbClr val="8AE6E4"/>
            </a:gs>
            <a:gs pos="100000">
              <a:srgbClr val="E0F8F7"/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GET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creener.in/company/source/quarter/3365/09/2022/" TargetMode="External"/><Relationship Id="rId13" Type="http://schemas.openxmlformats.org/officeDocument/2006/relationships/hyperlink" Target="https://www.screener.in/company/source/quarter/3365/12/2023/" TargetMode="External"/><Relationship Id="rId3" Type="http://schemas.openxmlformats.org/officeDocument/2006/relationships/hyperlink" Target="https://www.screener.in/company/source/quarter/3365/06/2021/" TargetMode="External"/><Relationship Id="rId7" Type="http://schemas.openxmlformats.org/officeDocument/2006/relationships/hyperlink" Target="https://www.screener.in/company/source/quarter/3365/06/2022/" TargetMode="External"/><Relationship Id="rId12" Type="http://schemas.openxmlformats.org/officeDocument/2006/relationships/hyperlink" Target="https://www.screener.in/company/source/quarter/3365/09/2023/" TargetMode="External"/><Relationship Id="rId2" Type="http://schemas.openxmlformats.org/officeDocument/2006/relationships/hyperlink" Target="https://www.screener.in/company/source/quarter/3365/03/2021/" TargetMode="External"/><Relationship Id="rId16" Type="http://schemas.openxmlformats.org/officeDocument/2006/relationships/drawing" Target="../drawings/drawing1.xml"/><Relationship Id="rId1" Type="http://schemas.openxmlformats.org/officeDocument/2006/relationships/hyperlink" Target="https://www.bseindia.com/bseplus/AnnualReport/532540/5325400320.pdf" TargetMode="External"/><Relationship Id="rId6" Type="http://schemas.openxmlformats.org/officeDocument/2006/relationships/hyperlink" Target="https://www.screener.in/company/source/quarter/3365/03/2022/" TargetMode="External"/><Relationship Id="rId11" Type="http://schemas.openxmlformats.org/officeDocument/2006/relationships/hyperlink" Target="https://www.screener.in/company/source/quarter/3365/06/2023/" TargetMode="External"/><Relationship Id="rId5" Type="http://schemas.openxmlformats.org/officeDocument/2006/relationships/hyperlink" Target="https://www.screener.in/company/source/quarter/3365/12/2021/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www.screener.in/company/source/quarter/3365/03/2023/" TargetMode="External"/><Relationship Id="rId4" Type="http://schemas.openxmlformats.org/officeDocument/2006/relationships/hyperlink" Target="https://www.screener.in/company/source/quarter/3365/09/2021/" TargetMode="External"/><Relationship Id="rId9" Type="http://schemas.openxmlformats.org/officeDocument/2006/relationships/hyperlink" Target="https://www.screener.in/company/source/quarter/3365/12/2022/" TargetMode="External"/><Relationship Id="rId14" Type="http://schemas.openxmlformats.org/officeDocument/2006/relationships/hyperlink" Target="https://www.screener.in/company/source/quarter/3365/03/2024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231"/>
  <sheetViews>
    <sheetView tabSelected="1" topLeftCell="A31" workbookViewId="0">
      <pane xSplit="5" topLeftCell="F1" activePane="topRight" state="frozen"/>
      <selection pane="topRight" activeCell="O49" sqref="O49"/>
    </sheetView>
  </sheetViews>
  <sheetFormatPr defaultRowHeight="15" x14ac:dyDescent="0.25"/>
  <cols>
    <col min="1" max="1" width="26.7109375" bestFit="1" customWidth="1"/>
    <col min="2" max="2" width="15.28515625" customWidth="1"/>
    <col min="3" max="4" width="18.140625" customWidth="1"/>
    <col min="5" max="5" width="15.42578125" customWidth="1"/>
    <col min="6" max="6" width="15.140625" customWidth="1"/>
    <col min="7" max="7" width="22" customWidth="1"/>
    <col min="8" max="9" width="11.28515625" customWidth="1"/>
    <col min="10" max="10" width="11.7109375" bestFit="1" customWidth="1"/>
    <col min="11" max="14" width="11.28515625" customWidth="1"/>
    <col min="15" max="15" width="14.7109375" bestFit="1" customWidth="1"/>
    <col min="16" max="19" width="11.28515625" customWidth="1"/>
    <col min="20" max="20" width="13" customWidth="1"/>
    <col min="21" max="21" width="5.28515625" style="16" customWidth="1"/>
    <col min="22" max="22" width="28.85546875" bestFit="1" customWidth="1"/>
    <col min="23" max="29" width="10.5703125" bestFit="1" customWidth="1"/>
    <col min="30" max="35" width="9.85546875" bestFit="1" customWidth="1"/>
    <col min="43" max="43" width="17.5703125" bestFit="1" customWidth="1"/>
    <col min="44" max="44" width="41.5703125" bestFit="1" customWidth="1"/>
    <col min="57" max="57" width="14.85546875" bestFit="1" customWidth="1"/>
    <col min="58" max="58" width="13.7109375" bestFit="1" customWidth="1"/>
  </cols>
  <sheetData>
    <row r="1" spans="1:60" x14ac:dyDescent="0.25">
      <c r="A1" s="40" t="s">
        <v>88</v>
      </c>
      <c r="B1" s="41"/>
      <c r="F1" s="31" t="s">
        <v>66</v>
      </c>
      <c r="U1" s="15"/>
      <c r="V1" s="46" t="s">
        <v>22</v>
      </c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21"/>
      <c r="AN1" s="21"/>
      <c r="AR1" t="s">
        <v>113</v>
      </c>
    </row>
    <row r="2" spans="1:60" x14ac:dyDescent="0.25">
      <c r="A2" s="42" t="s">
        <v>104</v>
      </c>
      <c r="B2" s="42"/>
      <c r="F2" t="s">
        <v>89</v>
      </c>
      <c r="V2" s="11"/>
      <c r="W2" s="17">
        <v>44256</v>
      </c>
      <c r="X2" s="17">
        <v>44348</v>
      </c>
      <c r="Y2" s="17">
        <v>44440</v>
      </c>
      <c r="Z2" s="17">
        <v>44531</v>
      </c>
      <c r="AA2" s="17">
        <v>44621</v>
      </c>
      <c r="AB2" s="17">
        <v>44713</v>
      </c>
      <c r="AC2" s="17">
        <v>44805</v>
      </c>
      <c r="AD2" s="17">
        <v>44896</v>
      </c>
      <c r="AE2" s="17">
        <v>44986</v>
      </c>
      <c r="AF2" s="17">
        <v>45078</v>
      </c>
      <c r="AG2" s="17">
        <v>45170</v>
      </c>
      <c r="AH2" s="17">
        <v>45261</v>
      </c>
      <c r="AI2" s="17">
        <v>45352</v>
      </c>
      <c r="AJ2" s="4"/>
      <c r="AK2" s="4"/>
      <c r="AL2" s="5"/>
      <c r="AR2" s="13" t="s">
        <v>115</v>
      </c>
      <c r="AS2" s="13">
        <v>1</v>
      </c>
      <c r="AT2" s="13">
        <v>2</v>
      </c>
      <c r="AU2" s="13">
        <v>3</v>
      </c>
      <c r="AV2" s="13">
        <v>4</v>
      </c>
      <c r="AW2" s="13">
        <v>5</v>
      </c>
      <c r="AX2" s="13">
        <v>6</v>
      </c>
      <c r="AY2" s="13">
        <v>7</v>
      </c>
      <c r="AZ2" s="13">
        <v>8</v>
      </c>
      <c r="BA2" s="13">
        <v>9</v>
      </c>
      <c r="BB2" s="13">
        <v>10</v>
      </c>
      <c r="BC2" s="13" t="s">
        <v>114</v>
      </c>
      <c r="BD2" s="13" t="s">
        <v>116</v>
      </c>
      <c r="BE2" s="13" t="s">
        <v>122</v>
      </c>
      <c r="BF2" s="13" t="s">
        <v>119</v>
      </c>
      <c r="BG2" s="13" t="s">
        <v>120</v>
      </c>
      <c r="BH2" s="13" t="s">
        <v>121</v>
      </c>
    </row>
    <row r="3" spans="1:60" x14ac:dyDescent="0.25">
      <c r="A3" s="14" t="s">
        <v>75</v>
      </c>
      <c r="B3" s="14" t="s">
        <v>83</v>
      </c>
      <c r="F3" t="s">
        <v>90</v>
      </c>
      <c r="V3" s="6" t="s">
        <v>32</v>
      </c>
      <c r="W3" s="2">
        <v>43705</v>
      </c>
      <c r="X3" s="2">
        <v>45411</v>
      </c>
      <c r="Y3" s="2">
        <v>46867</v>
      </c>
      <c r="Z3" s="2">
        <v>48885</v>
      </c>
      <c r="AA3" s="2">
        <v>50591</v>
      </c>
      <c r="AB3" s="2">
        <v>52758</v>
      </c>
      <c r="AC3" s="2">
        <v>55309</v>
      </c>
      <c r="AD3" s="2">
        <v>58229</v>
      </c>
      <c r="AE3" s="2">
        <v>59162</v>
      </c>
      <c r="AF3" s="2">
        <v>59381</v>
      </c>
      <c r="AG3" s="2">
        <v>59692</v>
      </c>
      <c r="AH3" s="2">
        <v>60583</v>
      </c>
      <c r="AI3" s="2">
        <v>61237</v>
      </c>
      <c r="AL3" s="7"/>
      <c r="AQ3" t="s">
        <v>154</v>
      </c>
      <c r="AR3" t="s">
        <v>134</v>
      </c>
      <c r="BD3" s="13" t="s">
        <v>117</v>
      </c>
    </row>
    <row r="4" spans="1:60" x14ac:dyDescent="0.25">
      <c r="A4" s="14" t="s">
        <v>118</v>
      </c>
      <c r="B4" s="14"/>
      <c r="F4" t="s">
        <v>91</v>
      </c>
      <c r="V4" s="6" t="s">
        <v>84</v>
      </c>
      <c r="W4" s="2">
        <v>9.4100000000000003E-2</v>
      </c>
      <c r="X4" s="2">
        <v>0.185</v>
      </c>
      <c r="Y4" s="2">
        <v>0.16769999999999999</v>
      </c>
      <c r="Z4" s="2">
        <v>0.16350000000000001</v>
      </c>
      <c r="AA4" s="2">
        <v>0.15759999999999999</v>
      </c>
      <c r="AB4" s="2">
        <v>0.1618</v>
      </c>
      <c r="AC4" s="2">
        <v>0.18010000000000001</v>
      </c>
      <c r="AD4" s="2">
        <v>0.19109999999999999</v>
      </c>
      <c r="AE4" s="2">
        <v>0.1694</v>
      </c>
      <c r="AF4" s="2">
        <v>0.1255</v>
      </c>
      <c r="AG4" s="2">
        <v>7.9200000000000007E-2</v>
      </c>
      <c r="AH4" s="2">
        <v>4.0399999999999998E-2</v>
      </c>
      <c r="AI4" s="2">
        <v>3.5099999999999999E-2</v>
      </c>
      <c r="AL4" s="7"/>
    </row>
    <row r="5" spans="1:60" x14ac:dyDescent="0.25">
      <c r="A5" t="s">
        <v>0</v>
      </c>
      <c r="B5" s="14"/>
      <c r="F5" t="s">
        <v>81</v>
      </c>
      <c r="V5" s="6" t="s">
        <v>33</v>
      </c>
      <c r="W5" s="2">
        <v>30904</v>
      </c>
      <c r="X5" s="2">
        <v>32748</v>
      </c>
      <c r="Y5" s="2">
        <v>33751</v>
      </c>
      <c r="Z5" s="2">
        <v>35452</v>
      </c>
      <c r="AA5" s="2">
        <v>36746</v>
      </c>
      <c r="AB5" s="2">
        <v>39342</v>
      </c>
      <c r="AC5" s="2">
        <v>40793</v>
      </c>
      <c r="AD5" s="2">
        <v>42676</v>
      </c>
      <c r="AE5" s="2">
        <v>43388</v>
      </c>
      <c r="AF5" s="2">
        <v>44383</v>
      </c>
      <c r="AG5" s="2">
        <v>43946</v>
      </c>
      <c r="AH5" s="2">
        <v>44195</v>
      </c>
      <c r="AI5" s="2">
        <v>44073</v>
      </c>
      <c r="AL5" s="7"/>
    </row>
    <row r="6" spans="1:60" x14ac:dyDescent="0.25">
      <c r="A6" t="s">
        <v>60</v>
      </c>
      <c r="B6" s="14"/>
      <c r="D6" s="13" t="s">
        <v>61</v>
      </c>
      <c r="V6" s="6" t="s">
        <v>34</v>
      </c>
      <c r="W6" s="18">
        <v>0.54</v>
      </c>
      <c r="X6" s="18">
        <v>0.56000000000000005</v>
      </c>
      <c r="Y6" s="18">
        <v>0.56000000000000005</v>
      </c>
      <c r="Z6" s="18">
        <v>0.56000000000000005</v>
      </c>
      <c r="AA6" s="18">
        <v>0.56000000000000005</v>
      </c>
      <c r="AB6" s="18">
        <v>0.56999999999999995</v>
      </c>
      <c r="AC6" s="18">
        <v>0.56000000000000005</v>
      </c>
      <c r="AD6" s="18">
        <v>0.56000000000000005</v>
      </c>
      <c r="AE6" s="18">
        <v>0.56999999999999995</v>
      </c>
      <c r="AF6" s="18">
        <v>0.59</v>
      </c>
      <c r="AG6" s="18">
        <v>0.59</v>
      </c>
      <c r="AH6" s="18">
        <v>0.56999999999999995</v>
      </c>
      <c r="AI6" s="18">
        <v>0.56999999999999995</v>
      </c>
      <c r="AL6" s="7"/>
    </row>
    <row r="7" spans="1:60" x14ac:dyDescent="0.25">
      <c r="A7" t="s">
        <v>20</v>
      </c>
      <c r="B7" s="14"/>
      <c r="D7" s="32" t="s">
        <v>69</v>
      </c>
      <c r="V7" s="6" t="s">
        <v>23</v>
      </c>
      <c r="W7" s="2">
        <v>12801</v>
      </c>
      <c r="X7" s="2">
        <v>12663</v>
      </c>
      <c r="Y7" s="2">
        <v>13116</v>
      </c>
      <c r="Z7" s="2">
        <v>13433</v>
      </c>
      <c r="AA7" s="2">
        <v>13845</v>
      </c>
      <c r="AB7" s="2">
        <v>13416</v>
      </c>
      <c r="AC7" s="2">
        <v>14516</v>
      </c>
      <c r="AD7" s="2">
        <v>15553</v>
      </c>
      <c r="AE7" s="2">
        <v>15774</v>
      </c>
      <c r="AF7" s="2">
        <v>14998</v>
      </c>
      <c r="AG7" s="2">
        <v>15746</v>
      </c>
      <c r="AH7" s="2">
        <v>16388</v>
      </c>
      <c r="AI7" s="2">
        <v>17164</v>
      </c>
      <c r="AL7" s="7"/>
    </row>
    <row r="8" spans="1:60" x14ac:dyDescent="0.25">
      <c r="A8" t="s">
        <v>21</v>
      </c>
      <c r="B8" s="14"/>
      <c r="C8" s="12"/>
      <c r="D8" s="19" t="s">
        <v>62</v>
      </c>
      <c r="V8" s="6" t="s">
        <v>24</v>
      </c>
      <c r="W8" s="2">
        <v>0.28999999999999998</v>
      </c>
      <c r="X8" s="2">
        <v>0.28000000000000003</v>
      </c>
      <c r="Y8" s="2">
        <v>0.28000000000000003</v>
      </c>
      <c r="Z8" s="2">
        <v>0.27</v>
      </c>
      <c r="AA8" s="2">
        <v>0.27</v>
      </c>
      <c r="AB8" s="2">
        <v>0.25</v>
      </c>
      <c r="AC8" s="2">
        <v>0.26</v>
      </c>
      <c r="AD8" s="2">
        <v>0.27</v>
      </c>
      <c r="AE8" s="2">
        <v>0.27</v>
      </c>
      <c r="AF8" s="2">
        <v>0.25</v>
      </c>
      <c r="AG8" s="2">
        <v>0.26</v>
      </c>
      <c r="AH8" s="2">
        <v>0.27</v>
      </c>
      <c r="AI8" s="2">
        <v>0.28000000000000003</v>
      </c>
      <c r="AL8" s="7"/>
    </row>
    <row r="9" spans="1:60" x14ac:dyDescent="0.25">
      <c r="A9" t="s">
        <v>59</v>
      </c>
      <c r="B9" s="33"/>
      <c r="D9" s="19" t="s">
        <v>22</v>
      </c>
      <c r="V9" s="6" t="s">
        <v>35</v>
      </c>
      <c r="W9" s="2">
        <v>931</v>
      </c>
      <c r="X9" s="2">
        <v>721</v>
      </c>
      <c r="Y9" s="2">
        <v>1111</v>
      </c>
      <c r="Z9" s="2">
        <v>1205</v>
      </c>
      <c r="AA9" s="2">
        <v>981</v>
      </c>
      <c r="AB9" s="2">
        <v>789</v>
      </c>
      <c r="AC9" s="2">
        <v>965</v>
      </c>
      <c r="AD9" s="2">
        <v>520</v>
      </c>
      <c r="AE9" s="2">
        <v>1175</v>
      </c>
      <c r="AF9" s="2">
        <v>1397</v>
      </c>
      <c r="AG9" s="2">
        <v>1006</v>
      </c>
      <c r="AH9" s="2">
        <v>-96</v>
      </c>
      <c r="AI9" s="2">
        <v>1157</v>
      </c>
      <c r="AL9" s="7"/>
    </row>
    <row r="10" spans="1:60" x14ac:dyDescent="0.25">
      <c r="A10" t="s">
        <v>82</v>
      </c>
      <c r="B10" s="33"/>
      <c r="D10" s="19" t="s">
        <v>30</v>
      </c>
      <c r="V10" s="6" t="s">
        <v>36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-958</v>
      </c>
      <c r="AI10" s="2">
        <v>0</v>
      </c>
      <c r="AL10" s="7"/>
    </row>
    <row r="11" spans="1:60" x14ac:dyDescent="0.25">
      <c r="D11" s="19" t="s">
        <v>63</v>
      </c>
      <c r="V11" s="6" t="s">
        <v>37</v>
      </c>
      <c r="W11" s="18">
        <v>931</v>
      </c>
      <c r="X11" s="18">
        <v>721</v>
      </c>
      <c r="Y11" s="18">
        <v>1111</v>
      </c>
      <c r="Z11" s="18">
        <v>1205</v>
      </c>
      <c r="AA11" s="18">
        <v>981</v>
      </c>
      <c r="AB11" s="18">
        <v>789</v>
      </c>
      <c r="AC11" s="18">
        <v>965</v>
      </c>
      <c r="AD11" s="18">
        <v>520</v>
      </c>
      <c r="AE11" s="18">
        <v>1175</v>
      </c>
      <c r="AF11" s="18">
        <v>1397</v>
      </c>
      <c r="AG11" s="18">
        <v>1006</v>
      </c>
      <c r="AH11" s="18">
        <v>862</v>
      </c>
      <c r="AI11" s="18">
        <v>1157</v>
      </c>
      <c r="AL11" s="7"/>
    </row>
    <row r="12" spans="1:60" x14ac:dyDescent="0.25">
      <c r="D12" s="19" t="s">
        <v>64</v>
      </c>
      <c r="F12" s="13" t="s">
        <v>65</v>
      </c>
      <c r="K12" s="3" t="s">
        <v>67</v>
      </c>
      <c r="L12" s="3"/>
      <c r="M12" s="3"/>
      <c r="N12" s="3"/>
      <c r="O12" s="3"/>
      <c r="P12" s="3" t="s">
        <v>68</v>
      </c>
      <c r="V12" s="6" t="s">
        <v>25</v>
      </c>
      <c r="W12" s="2">
        <v>138</v>
      </c>
      <c r="X12" s="2">
        <v>146</v>
      </c>
      <c r="Y12" s="2">
        <v>142</v>
      </c>
      <c r="Z12" s="2">
        <v>251</v>
      </c>
      <c r="AA12" s="2">
        <v>245</v>
      </c>
      <c r="AB12" s="2">
        <v>199</v>
      </c>
      <c r="AC12" s="2">
        <v>148</v>
      </c>
      <c r="AD12" s="2">
        <v>160</v>
      </c>
      <c r="AE12" s="2">
        <v>272</v>
      </c>
      <c r="AF12" s="2">
        <v>163</v>
      </c>
      <c r="AG12" s="2">
        <v>159</v>
      </c>
      <c r="AH12" s="2">
        <v>230</v>
      </c>
      <c r="AI12" s="2">
        <v>226</v>
      </c>
      <c r="AL12" s="7"/>
    </row>
    <row r="13" spans="1:60" x14ac:dyDescent="0.25">
      <c r="V13" s="6" t="s">
        <v>26</v>
      </c>
      <c r="W13" s="2">
        <v>1067</v>
      </c>
      <c r="X13" s="2">
        <v>1075</v>
      </c>
      <c r="Y13" s="2">
        <v>1116</v>
      </c>
      <c r="Z13" s="2">
        <v>1196</v>
      </c>
      <c r="AA13" s="2">
        <v>1217</v>
      </c>
      <c r="AB13" s="2">
        <v>1230</v>
      </c>
      <c r="AC13" s="2">
        <v>1237</v>
      </c>
      <c r="AD13" s="2">
        <v>1269</v>
      </c>
      <c r="AE13" s="2">
        <v>1286</v>
      </c>
      <c r="AF13" s="2">
        <v>1243</v>
      </c>
      <c r="AG13" s="2">
        <v>1263</v>
      </c>
      <c r="AH13" s="2">
        <v>1233</v>
      </c>
      <c r="AI13" s="2">
        <v>1246</v>
      </c>
      <c r="AL13" s="7"/>
    </row>
    <row r="14" spans="1:60" x14ac:dyDescent="0.25">
      <c r="V14" s="6" t="s">
        <v>27</v>
      </c>
      <c r="W14" s="23">
        <v>12527</v>
      </c>
      <c r="X14" s="23">
        <v>12163</v>
      </c>
      <c r="Y14" s="23">
        <v>12969</v>
      </c>
      <c r="Z14" s="23">
        <v>13191</v>
      </c>
      <c r="AA14" s="23">
        <v>13364</v>
      </c>
      <c r="AB14" s="23">
        <v>12776</v>
      </c>
      <c r="AC14" s="23">
        <v>14096</v>
      </c>
      <c r="AD14" s="23">
        <v>14644</v>
      </c>
      <c r="AE14" s="23">
        <v>15391</v>
      </c>
      <c r="AF14" s="23">
        <v>14989</v>
      </c>
      <c r="AG14" s="23">
        <v>15330</v>
      </c>
      <c r="AH14" s="23">
        <v>14829</v>
      </c>
      <c r="AI14" s="23">
        <v>16849</v>
      </c>
      <c r="AL14" s="7"/>
    </row>
    <row r="15" spans="1:60" x14ac:dyDescent="0.25">
      <c r="D15" s="12"/>
      <c r="V15" s="20" t="s">
        <v>28</v>
      </c>
      <c r="W15" s="22">
        <v>0.26</v>
      </c>
      <c r="X15" s="2">
        <v>0.26</v>
      </c>
      <c r="Y15" s="2">
        <v>0.26</v>
      </c>
      <c r="Z15" s="2">
        <v>0.26</v>
      </c>
      <c r="AA15" s="2">
        <v>0.25</v>
      </c>
      <c r="AB15" s="2">
        <v>0.25</v>
      </c>
      <c r="AC15" s="2">
        <v>0.26</v>
      </c>
      <c r="AD15" s="2">
        <v>0.26</v>
      </c>
      <c r="AE15" s="2">
        <v>0.26</v>
      </c>
      <c r="AF15" s="2">
        <v>0.26</v>
      </c>
      <c r="AG15" s="2">
        <v>0.26</v>
      </c>
      <c r="AH15" s="2">
        <v>0.25</v>
      </c>
      <c r="AI15" s="2">
        <v>0.26</v>
      </c>
      <c r="AL15" s="7"/>
      <c r="AQ15" t="s">
        <v>30</v>
      </c>
      <c r="AR15" t="s">
        <v>123</v>
      </c>
    </row>
    <row r="16" spans="1:60" x14ac:dyDescent="0.25">
      <c r="V16" s="6" t="s">
        <v>38</v>
      </c>
      <c r="W16" s="18">
        <v>9282</v>
      </c>
      <c r="X16" s="18">
        <v>9031</v>
      </c>
      <c r="Y16" s="23">
        <v>9653</v>
      </c>
      <c r="Z16" s="23">
        <v>9806</v>
      </c>
      <c r="AA16" s="23">
        <v>9959</v>
      </c>
      <c r="AB16" s="23">
        <v>9519</v>
      </c>
      <c r="AC16" s="23">
        <v>10465</v>
      </c>
      <c r="AD16" s="23">
        <v>10883</v>
      </c>
      <c r="AE16" s="23">
        <v>11436</v>
      </c>
      <c r="AF16" s="23">
        <v>11120</v>
      </c>
      <c r="AG16" s="23">
        <v>11380</v>
      </c>
      <c r="AH16" s="23">
        <v>11097</v>
      </c>
      <c r="AI16" s="23">
        <v>12502</v>
      </c>
      <c r="AJ16" s="19"/>
      <c r="AL16" s="7"/>
      <c r="AR16" t="s">
        <v>125</v>
      </c>
    </row>
    <row r="17" spans="4:48" x14ac:dyDescent="0.25">
      <c r="V17" s="6" t="s">
        <v>39</v>
      </c>
      <c r="W17" s="22">
        <v>9282</v>
      </c>
      <c r="X17" s="22">
        <v>9031</v>
      </c>
      <c r="Y17" s="22">
        <v>9653</v>
      </c>
      <c r="Z17" s="22">
        <v>9806</v>
      </c>
      <c r="AA17" s="22">
        <v>9959</v>
      </c>
      <c r="AB17" s="22">
        <v>9519</v>
      </c>
      <c r="AC17" s="22">
        <v>10465</v>
      </c>
      <c r="AD17" s="22">
        <v>10883</v>
      </c>
      <c r="AE17" s="22">
        <v>11436</v>
      </c>
      <c r="AF17" s="22">
        <v>11120</v>
      </c>
      <c r="AG17" s="22">
        <v>11380</v>
      </c>
      <c r="AH17" s="22">
        <v>11097</v>
      </c>
      <c r="AI17" s="22">
        <v>12502</v>
      </c>
      <c r="AL17" s="7"/>
      <c r="AR17" t="s">
        <v>124</v>
      </c>
    </row>
    <row r="18" spans="4:48" x14ac:dyDescent="0.25">
      <c r="V18" s="6" t="s">
        <v>40</v>
      </c>
      <c r="W18" s="2">
        <v>9282</v>
      </c>
      <c r="X18" s="2">
        <v>9031</v>
      </c>
      <c r="Y18" s="2">
        <v>9653</v>
      </c>
      <c r="Z18" s="2">
        <v>9806</v>
      </c>
      <c r="AA18" s="2">
        <v>9959</v>
      </c>
      <c r="AB18" s="2">
        <v>9519</v>
      </c>
      <c r="AC18" s="2">
        <v>10465</v>
      </c>
      <c r="AD18" s="2">
        <v>10883</v>
      </c>
      <c r="AE18" s="2">
        <v>11436</v>
      </c>
      <c r="AF18" s="2">
        <v>11120</v>
      </c>
      <c r="AG18" s="2">
        <v>11380</v>
      </c>
      <c r="AH18" s="2">
        <v>11097</v>
      </c>
      <c r="AI18" s="2">
        <v>12502</v>
      </c>
      <c r="AL18" s="7"/>
      <c r="AR18" t="s">
        <v>126</v>
      </c>
    </row>
    <row r="19" spans="4:48" x14ac:dyDescent="0.25">
      <c r="D19" s="12"/>
      <c r="V19" s="6" t="s">
        <v>92</v>
      </c>
      <c r="W19" s="22">
        <v>-36</v>
      </c>
      <c r="X19" s="22">
        <v>-23</v>
      </c>
      <c r="Y19" s="22">
        <v>-29</v>
      </c>
      <c r="Z19" s="22">
        <v>-37</v>
      </c>
      <c r="AA19" s="22">
        <v>-33</v>
      </c>
      <c r="AB19" s="22">
        <v>-41</v>
      </c>
      <c r="AC19" s="22">
        <v>-34</v>
      </c>
      <c r="AD19" s="22">
        <v>-37</v>
      </c>
      <c r="AE19" s="22">
        <v>-44</v>
      </c>
      <c r="AF19" s="22">
        <v>-46</v>
      </c>
      <c r="AG19" s="22">
        <v>-38</v>
      </c>
      <c r="AH19" s="22">
        <v>-39</v>
      </c>
      <c r="AI19" s="22">
        <v>-68</v>
      </c>
      <c r="AL19" s="7"/>
      <c r="AR19" t="s">
        <v>127</v>
      </c>
    </row>
    <row r="20" spans="4:48" x14ac:dyDescent="0.25">
      <c r="V20" s="6" t="s">
        <v>41</v>
      </c>
      <c r="W20" s="2">
        <v>9246</v>
      </c>
      <c r="X20" s="2">
        <v>9008</v>
      </c>
      <c r="Y20" s="2">
        <v>9624</v>
      </c>
      <c r="Z20" s="2">
        <v>9769</v>
      </c>
      <c r="AA20" s="2">
        <v>9926</v>
      </c>
      <c r="AB20" s="2">
        <v>9478</v>
      </c>
      <c r="AC20" s="2">
        <v>10431</v>
      </c>
      <c r="AD20" s="2">
        <v>10846</v>
      </c>
      <c r="AE20" s="2">
        <v>11392</v>
      </c>
      <c r="AF20" s="2">
        <v>11074</v>
      </c>
      <c r="AG20" s="2">
        <v>11342</v>
      </c>
      <c r="AH20" s="2">
        <v>11058</v>
      </c>
      <c r="AI20" s="2">
        <v>12434</v>
      </c>
      <c r="AL20" s="7"/>
      <c r="AR20" t="s">
        <v>128</v>
      </c>
    </row>
    <row r="21" spans="4:48" x14ac:dyDescent="0.25">
      <c r="V21" s="6" t="s">
        <v>42</v>
      </c>
      <c r="W21" s="28">
        <v>0</v>
      </c>
      <c r="X21" s="28">
        <v>0</v>
      </c>
      <c r="Y21" s="28">
        <v>0</v>
      </c>
      <c r="Z21" s="28">
        <v>0</v>
      </c>
      <c r="AA21" s="28">
        <v>0</v>
      </c>
      <c r="AB21" s="28">
        <v>0</v>
      </c>
      <c r="AC21" s="28">
        <v>0</v>
      </c>
      <c r="AD21" s="28">
        <v>0</v>
      </c>
      <c r="AE21" s="28">
        <v>0</v>
      </c>
      <c r="AF21" s="28">
        <v>0</v>
      </c>
      <c r="AG21" s="28">
        <v>0</v>
      </c>
      <c r="AH21" s="28">
        <v>-717</v>
      </c>
      <c r="AI21" s="28">
        <v>0</v>
      </c>
      <c r="AL21" s="7"/>
      <c r="AR21" t="s">
        <v>133</v>
      </c>
    </row>
    <row r="22" spans="4:48" x14ac:dyDescent="0.25">
      <c r="J22" s="2"/>
      <c r="V22" s="6" t="s">
        <v>43</v>
      </c>
      <c r="W22" s="28">
        <v>9246</v>
      </c>
      <c r="X22" s="28">
        <v>9008</v>
      </c>
      <c r="Y22" s="28">
        <v>9624</v>
      </c>
      <c r="Z22" s="28">
        <v>9769</v>
      </c>
      <c r="AA22" s="28">
        <v>9926</v>
      </c>
      <c r="AB22" s="28">
        <v>9478</v>
      </c>
      <c r="AC22" s="28">
        <v>10431</v>
      </c>
      <c r="AD22" s="28">
        <v>10846</v>
      </c>
      <c r="AE22" s="28">
        <v>11392</v>
      </c>
      <c r="AF22" s="28">
        <v>11074</v>
      </c>
      <c r="AG22" s="28">
        <v>11342</v>
      </c>
      <c r="AH22" s="28">
        <v>11772</v>
      </c>
      <c r="AI22" s="28">
        <v>12434</v>
      </c>
      <c r="AL22" s="7"/>
      <c r="AR22" s="37" t="s">
        <v>129</v>
      </c>
    </row>
    <row r="23" spans="4:48" x14ac:dyDescent="0.25">
      <c r="J23" s="2"/>
      <c r="V23" s="6" t="s">
        <v>29</v>
      </c>
      <c r="W23" s="30">
        <v>25</v>
      </c>
      <c r="X23" s="30">
        <v>24.35</v>
      </c>
      <c r="Y23" s="30">
        <v>26.02</v>
      </c>
      <c r="Z23" s="30">
        <v>26.41</v>
      </c>
      <c r="AA23" s="30">
        <v>27.13</v>
      </c>
      <c r="AB23" s="30">
        <v>25.9</v>
      </c>
      <c r="AC23" s="30">
        <v>28.51</v>
      </c>
      <c r="AD23" s="30">
        <v>29.64</v>
      </c>
      <c r="AE23" s="30">
        <v>31.13</v>
      </c>
      <c r="AF23" s="30">
        <v>30.26</v>
      </c>
      <c r="AG23" s="30">
        <v>31</v>
      </c>
      <c r="AH23" s="30">
        <v>30.56</v>
      </c>
      <c r="AI23" s="28">
        <v>34.369999999999997</v>
      </c>
      <c r="AL23" s="7"/>
      <c r="AR23" t="s">
        <v>130</v>
      </c>
    </row>
    <row r="24" spans="4:48" x14ac:dyDescent="0.25">
      <c r="V24" s="6" t="s">
        <v>85</v>
      </c>
      <c r="W24" s="28" t="s">
        <v>86</v>
      </c>
      <c r="X24" s="28" t="s">
        <v>86</v>
      </c>
      <c r="Y24" s="28" t="s">
        <v>86</v>
      </c>
      <c r="Z24" s="28" t="s">
        <v>86</v>
      </c>
      <c r="AA24" s="28" t="s">
        <v>86</v>
      </c>
      <c r="AB24" s="28" t="s">
        <v>86</v>
      </c>
      <c r="AC24" s="28" t="s">
        <v>86</v>
      </c>
      <c r="AD24" s="28" t="s">
        <v>86</v>
      </c>
      <c r="AE24" s="28" t="s">
        <v>86</v>
      </c>
      <c r="AF24" s="28" t="s">
        <v>86</v>
      </c>
      <c r="AG24" s="28" t="s">
        <v>86</v>
      </c>
      <c r="AH24" s="28" t="s">
        <v>86</v>
      </c>
      <c r="AI24" s="28" t="s">
        <v>86</v>
      </c>
      <c r="AL24" s="7"/>
      <c r="AR24" t="s">
        <v>131</v>
      </c>
    </row>
    <row r="25" spans="4:48" x14ac:dyDescent="0.25">
      <c r="V25" s="6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19"/>
      <c r="AL25" s="7"/>
      <c r="AR25" t="s">
        <v>132</v>
      </c>
    </row>
    <row r="26" spans="4:48" x14ac:dyDescent="0.25">
      <c r="F26" s="39" t="s">
        <v>1</v>
      </c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V26" s="6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L26" s="7"/>
      <c r="AQ26" t="s">
        <v>63</v>
      </c>
      <c r="AR26" t="s">
        <v>134</v>
      </c>
    </row>
    <row r="27" spans="4:48" x14ac:dyDescent="0.25">
      <c r="F27" s="11" t="s">
        <v>10</v>
      </c>
      <c r="G27" s="4" t="s">
        <v>11</v>
      </c>
      <c r="H27" s="4" t="s">
        <v>12</v>
      </c>
      <c r="I27" s="4" t="s">
        <v>13</v>
      </c>
      <c r="J27" s="4" t="s">
        <v>14</v>
      </c>
      <c r="K27" s="4" t="s">
        <v>15</v>
      </c>
      <c r="L27" s="4" t="s">
        <v>16</v>
      </c>
      <c r="M27" s="4" t="s">
        <v>17</v>
      </c>
      <c r="N27" s="4" t="s">
        <v>18</v>
      </c>
      <c r="O27" s="4" t="s">
        <v>19</v>
      </c>
      <c r="P27" s="4"/>
      <c r="Q27" s="4"/>
      <c r="R27" s="5"/>
      <c r="V27" s="6"/>
      <c r="AL27" s="7"/>
      <c r="AR27" t="s">
        <v>135</v>
      </c>
    </row>
    <row r="28" spans="4:48" x14ac:dyDescent="0.25">
      <c r="F28" s="6" t="s">
        <v>2</v>
      </c>
      <c r="G28">
        <v>3851.45</v>
      </c>
      <c r="H28">
        <v>29.9</v>
      </c>
      <c r="I28">
        <v>1393488.32</v>
      </c>
      <c r="J28">
        <v>1.43</v>
      </c>
      <c r="K28">
        <v>12502</v>
      </c>
      <c r="L28">
        <v>9.15</v>
      </c>
      <c r="M28">
        <v>61237</v>
      </c>
      <c r="N28">
        <v>3.51</v>
      </c>
      <c r="O28">
        <v>64.28</v>
      </c>
      <c r="R28" s="7"/>
      <c r="V28" s="6"/>
      <c r="AL28" s="7"/>
      <c r="AR28" t="s">
        <v>136</v>
      </c>
      <c r="AV28" s="1"/>
    </row>
    <row r="29" spans="4:48" x14ac:dyDescent="0.25">
      <c r="F29" s="6" t="s">
        <v>3</v>
      </c>
      <c r="G29">
        <v>1443.65</v>
      </c>
      <c r="H29">
        <v>23.03</v>
      </c>
      <c r="I29">
        <v>599239.98</v>
      </c>
      <c r="J29">
        <v>2.63</v>
      </c>
      <c r="K29">
        <v>7975</v>
      </c>
      <c r="L29">
        <v>30.04</v>
      </c>
      <c r="M29">
        <v>37923</v>
      </c>
      <c r="N29">
        <v>1.29</v>
      </c>
      <c r="O29">
        <v>39.99</v>
      </c>
      <c r="R29" s="7"/>
      <c r="V29" s="6"/>
      <c r="AL29" s="7"/>
      <c r="AR29" t="s">
        <v>137</v>
      </c>
    </row>
    <row r="30" spans="4:48" x14ac:dyDescent="0.25">
      <c r="F30" s="6" t="s">
        <v>5</v>
      </c>
      <c r="G30">
        <v>1338.9</v>
      </c>
      <c r="H30">
        <v>23.14</v>
      </c>
      <c r="I30">
        <v>363332.62</v>
      </c>
      <c r="J30">
        <v>3.88</v>
      </c>
      <c r="K30">
        <v>3995</v>
      </c>
      <c r="L30">
        <v>0.13</v>
      </c>
      <c r="M30">
        <v>28499</v>
      </c>
      <c r="N30">
        <v>7.11</v>
      </c>
      <c r="O30">
        <v>29.84</v>
      </c>
      <c r="R30" s="7"/>
      <c r="V30" s="6"/>
      <c r="AL30" s="7"/>
      <c r="AR30" t="s">
        <v>138</v>
      </c>
    </row>
    <row r="31" spans="4:48" x14ac:dyDescent="0.25">
      <c r="F31" s="6" t="s">
        <v>7</v>
      </c>
      <c r="G31">
        <v>462.55</v>
      </c>
      <c r="H31">
        <v>21.89</v>
      </c>
      <c r="I31">
        <v>241799.87</v>
      </c>
      <c r="J31">
        <v>0.22</v>
      </c>
      <c r="K31">
        <v>2858.2</v>
      </c>
      <c r="L31">
        <v>-7.8</v>
      </c>
      <c r="M31">
        <v>22208.3</v>
      </c>
      <c r="N31">
        <v>-4.2300000000000004</v>
      </c>
      <c r="O31">
        <v>17.149999999999999</v>
      </c>
      <c r="R31" s="7"/>
      <c r="V31" s="6"/>
      <c r="AL31" s="7"/>
      <c r="AR31" t="s">
        <v>139</v>
      </c>
    </row>
    <row r="32" spans="4:48" x14ac:dyDescent="0.25">
      <c r="F32" s="6" t="s">
        <v>4</v>
      </c>
      <c r="G32">
        <v>4751.1000000000004</v>
      </c>
      <c r="H32">
        <v>30.71</v>
      </c>
      <c r="I32">
        <v>140710.18</v>
      </c>
      <c r="J32">
        <v>1.26</v>
      </c>
      <c r="K32">
        <v>1100.7</v>
      </c>
      <c r="L32">
        <v>-1.24</v>
      </c>
      <c r="M32">
        <v>8892.9</v>
      </c>
      <c r="N32">
        <v>2.3199999999999998</v>
      </c>
      <c r="O32">
        <v>32.11</v>
      </c>
      <c r="R32" s="7"/>
      <c r="V32" s="6"/>
      <c r="AL32" s="7"/>
      <c r="AR32" t="s">
        <v>140</v>
      </c>
    </row>
    <row r="33" spans="4:48" x14ac:dyDescent="0.25">
      <c r="F33" s="6" t="s">
        <v>8</v>
      </c>
      <c r="G33">
        <v>1305.6500000000001</v>
      </c>
      <c r="H33">
        <v>54.1</v>
      </c>
      <c r="I33">
        <v>127552.26</v>
      </c>
      <c r="J33">
        <v>2.4500000000000002</v>
      </c>
      <c r="K33">
        <v>664.2</v>
      </c>
      <c r="L33">
        <v>-40.86</v>
      </c>
      <c r="M33">
        <v>12871.3</v>
      </c>
      <c r="N33">
        <v>-6.17</v>
      </c>
      <c r="O33">
        <v>11.89</v>
      </c>
      <c r="R33" s="7"/>
      <c r="V33" s="6"/>
      <c r="AL33" s="7"/>
      <c r="AR33" t="s">
        <v>141</v>
      </c>
    </row>
    <row r="34" spans="4:48" x14ac:dyDescent="0.25">
      <c r="F34" s="6" t="s">
        <v>6</v>
      </c>
      <c r="G34">
        <v>3527.3</v>
      </c>
      <c r="H34">
        <v>49.69</v>
      </c>
      <c r="I34">
        <v>54338.06</v>
      </c>
      <c r="J34">
        <v>0.56999999999999995</v>
      </c>
      <c r="K34">
        <v>315.32</v>
      </c>
      <c r="L34">
        <v>25.37</v>
      </c>
      <c r="M34">
        <v>2590.5300000000002</v>
      </c>
      <c r="N34">
        <v>14.91</v>
      </c>
      <c r="O34">
        <v>29.8</v>
      </c>
      <c r="R34" s="7"/>
      <c r="V34" s="8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10"/>
      <c r="AR34" t="s">
        <v>142</v>
      </c>
      <c r="AS34" s="1"/>
      <c r="AT34" s="1"/>
      <c r="AU34" s="1"/>
      <c r="AV34" s="1"/>
    </row>
    <row r="35" spans="4:48" x14ac:dyDescent="0.25">
      <c r="F35" s="6" t="s">
        <v>103</v>
      </c>
      <c r="G35">
        <v>2322.3000000000002</v>
      </c>
      <c r="H35">
        <v>29.9</v>
      </c>
      <c r="I35">
        <v>140710.18</v>
      </c>
      <c r="J35">
        <v>1.43</v>
      </c>
      <c r="K35">
        <v>1100.7</v>
      </c>
      <c r="L35">
        <v>0.13</v>
      </c>
      <c r="M35">
        <v>12871.3</v>
      </c>
      <c r="N35">
        <v>2.3199999999999998</v>
      </c>
      <c r="O35">
        <v>29.84</v>
      </c>
      <c r="R35" s="7"/>
      <c r="AR35" t="s">
        <v>143</v>
      </c>
    </row>
    <row r="36" spans="4:48" x14ac:dyDescent="0.25">
      <c r="F36" s="6"/>
      <c r="R36" s="7"/>
      <c r="AR36" t="s">
        <v>144</v>
      </c>
    </row>
    <row r="37" spans="4:48" x14ac:dyDescent="0.25">
      <c r="F37" s="6"/>
      <c r="R37" s="7"/>
      <c r="AR37" t="s">
        <v>145</v>
      </c>
    </row>
    <row r="38" spans="4:48" x14ac:dyDescent="0.25">
      <c r="F38" s="8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10"/>
      <c r="AR38" t="s">
        <v>146</v>
      </c>
    </row>
    <row r="39" spans="4:48" x14ac:dyDescent="0.25">
      <c r="AR39" t="s">
        <v>147</v>
      </c>
    </row>
    <row r="40" spans="4:48" x14ac:dyDescent="0.25">
      <c r="AQ40" t="s">
        <v>44</v>
      </c>
      <c r="AR40" t="s">
        <v>148</v>
      </c>
    </row>
    <row r="41" spans="4:48" x14ac:dyDescent="0.25">
      <c r="AR41" t="s">
        <v>149</v>
      </c>
    </row>
    <row r="42" spans="4:48" x14ac:dyDescent="0.25">
      <c r="AR42" t="s">
        <v>150</v>
      </c>
    </row>
    <row r="43" spans="4:48" x14ac:dyDescent="0.25">
      <c r="AR43" t="s">
        <v>151</v>
      </c>
    </row>
    <row r="44" spans="4:48" x14ac:dyDescent="0.25">
      <c r="AR44" t="s">
        <v>152</v>
      </c>
    </row>
    <row r="45" spans="4:48" x14ac:dyDescent="0.25">
      <c r="V45" s="39" t="s">
        <v>30</v>
      </c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Q45" t="s">
        <v>153</v>
      </c>
    </row>
    <row r="46" spans="4:48" x14ac:dyDescent="0.25">
      <c r="D46" s="13" t="s">
        <v>61</v>
      </c>
      <c r="V46" s="11" t="s">
        <v>9</v>
      </c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4"/>
      <c r="AK46" s="4"/>
      <c r="AL46" s="5"/>
      <c r="AR46" s="1"/>
    </row>
    <row r="47" spans="4:48" x14ac:dyDescent="0.25">
      <c r="D47" s="35" t="s">
        <v>74</v>
      </c>
      <c r="V47" s="6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L47" s="7"/>
    </row>
    <row r="48" spans="4:48" x14ac:dyDescent="0.25">
      <c r="F48" t="s">
        <v>87</v>
      </c>
      <c r="O48" s="13" t="s">
        <v>112</v>
      </c>
      <c r="U48" s="24"/>
      <c r="V48" s="6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L48" s="7"/>
    </row>
    <row r="49" spans="6:38" ht="45" x14ac:dyDescent="0.25">
      <c r="F49" t="s">
        <v>105</v>
      </c>
      <c r="G49" s="36">
        <v>45382</v>
      </c>
      <c r="H49" s="36">
        <v>45291</v>
      </c>
      <c r="I49" s="36">
        <v>45199</v>
      </c>
      <c r="J49" s="36">
        <v>45107</v>
      </c>
      <c r="O49" s="38" t="s">
        <v>155</v>
      </c>
      <c r="U49" s="25"/>
      <c r="V49" s="6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L49" s="7"/>
    </row>
    <row r="50" spans="6:38" x14ac:dyDescent="0.25">
      <c r="F50" t="s">
        <v>106</v>
      </c>
      <c r="G50">
        <v>71.77</v>
      </c>
      <c r="H50" s="27">
        <v>72.41</v>
      </c>
      <c r="I50">
        <v>72.3</v>
      </c>
      <c r="J50" s="2">
        <v>72.3</v>
      </c>
      <c r="U50" s="25"/>
      <c r="V50" s="6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L50" s="7"/>
    </row>
    <row r="51" spans="6:38" x14ac:dyDescent="0.25">
      <c r="F51" t="s">
        <v>107</v>
      </c>
      <c r="G51">
        <v>0.28000000000000003</v>
      </c>
      <c r="H51" s="27">
        <v>0.48</v>
      </c>
      <c r="I51">
        <v>0.48</v>
      </c>
      <c r="J51" s="2">
        <v>0.48</v>
      </c>
      <c r="U51" s="25"/>
      <c r="V51" s="6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L51" s="7"/>
    </row>
    <row r="52" spans="6:38" x14ac:dyDescent="0.25">
      <c r="F52" t="s">
        <v>108</v>
      </c>
      <c r="G52">
        <v>12.7</v>
      </c>
      <c r="H52">
        <v>12.46</v>
      </c>
      <c r="I52">
        <v>12.46</v>
      </c>
      <c r="J52">
        <v>12.45</v>
      </c>
      <c r="U52" s="26"/>
      <c r="V52" s="6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L52" s="7"/>
    </row>
    <row r="53" spans="6:38" x14ac:dyDescent="0.25">
      <c r="F53" t="s">
        <v>109</v>
      </c>
      <c r="G53">
        <v>10.6</v>
      </c>
      <c r="H53">
        <v>9.98</v>
      </c>
      <c r="I53">
        <v>9.94</v>
      </c>
      <c r="J53">
        <v>9.75</v>
      </c>
      <c r="V53" s="6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L53" s="7"/>
    </row>
    <row r="54" spans="6:38" x14ac:dyDescent="0.25">
      <c r="F54" t="s">
        <v>110</v>
      </c>
      <c r="G54">
        <v>4.05</v>
      </c>
      <c r="H54">
        <v>3.51</v>
      </c>
      <c r="I54">
        <v>3.49</v>
      </c>
      <c r="J54">
        <v>3.48</v>
      </c>
      <c r="T54" s="21"/>
      <c r="V54" s="6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L54" s="7"/>
    </row>
    <row r="55" spans="6:38" x14ac:dyDescent="0.25">
      <c r="F55" t="s">
        <v>111</v>
      </c>
      <c r="G55">
        <v>4.93</v>
      </c>
      <c r="H55" s="27">
        <v>5.14</v>
      </c>
      <c r="I55">
        <v>5.3</v>
      </c>
      <c r="J55">
        <v>5.5</v>
      </c>
      <c r="T55" s="2"/>
      <c r="U55" s="24"/>
      <c r="V55" s="6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L55" s="7"/>
    </row>
    <row r="56" spans="6:38" x14ac:dyDescent="0.25">
      <c r="J56" s="1"/>
      <c r="T56" s="2"/>
      <c r="U56" s="25"/>
      <c r="V56" s="6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L56" s="7"/>
    </row>
    <row r="57" spans="6:38" x14ac:dyDescent="0.25">
      <c r="T57" s="2"/>
      <c r="U57" s="26"/>
      <c r="V57" s="6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L57" s="7"/>
    </row>
    <row r="58" spans="6:38" x14ac:dyDescent="0.25">
      <c r="T58" s="18"/>
      <c r="U58" s="25"/>
      <c r="V58" s="6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L58" s="7"/>
    </row>
    <row r="59" spans="6:38" x14ac:dyDescent="0.25">
      <c r="U59" s="25"/>
      <c r="V59" s="6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L59" s="7"/>
    </row>
    <row r="60" spans="6:38" x14ac:dyDescent="0.25">
      <c r="U60" s="26"/>
      <c r="V60" s="6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L60" s="7"/>
    </row>
    <row r="61" spans="6:38" x14ac:dyDescent="0.25">
      <c r="J61" s="2"/>
      <c r="T61" s="21"/>
      <c r="V61" s="6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L61" s="7"/>
    </row>
    <row r="62" spans="6:38" x14ac:dyDescent="0.25">
      <c r="F62" t="s">
        <v>156</v>
      </c>
      <c r="J62" s="2"/>
      <c r="T62" s="2"/>
      <c r="V62" s="6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L62" s="7"/>
    </row>
    <row r="63" spans="6:38" x14ac:dyDescent="0.25">
      <c r="T63" s="18"/>
      <c r="V63" s="6"/>
      <c r="W63" s="18"/>
      <c r="X63" s="18"/>
      <c r="Y63" s="18"/>
      <c r="Z63" s="18"/>
      <c r="AA63" s="18"/>
      <c r="AB63" s="18"/>
      <c r="AC63" s="18"/>
      <c r="AD63" s="2"/>
      <c r="AE63" s="2"/>
      <c r="AF63" s="2"/>
      <c r="AG63" s="2"/>
      <c r="AH63" s="2"/>
      <c r="AL63" s="7"/>
    </row>
    <row r="64" spans="6:38" x14ac:dyDescent="0.25">
      <c r="T64" s="2"/>
      <c r="V64" s="6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L64" s="7"/>
    </row>
    <row r="65" spans="10:38" x14ac:dyDescent="0.25">
      <c r="T65" s="2"/>
      <c r="V65" s="6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L65" s="7"/>
    </row>
    <row r="66" spans="10:38" x14ac:dyDescent="0.25">
      <c r="T66" s="18"/>
      <c r="V66" s="6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L66" s="7"/>
    </row>
    <row r="67" spans="10:38" x14ac:dyDescent="0.25">
      <c r="J67" s="1"/>
      <c r="V67" s="6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L67" s="7"/>
    </row>
    <row r="68" spans="10:38" x14ac:dyDescent="0.25">
      <c r="V68" s="6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L68" s="7"/>
    </row>
    <row r="69" spans="10:38" x14ac:dyDescent="0.25">
      <c r="V69" s="6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L69" s="7"/>
    </row>
    <row r="70" spans="10:38" x14ac:dyDescent="0.25">
      <c r="V70" s="6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L70" s="7"/>
    </row>
    <row r="71" spans="10:38" x14ac:dyDescent="0.25">
      <c r="V71" s="6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L71" s="7"/>
    </row>
    <row r="72" spans="10:38" x14ac:dyDescent="0.25">
      <c r="V72" s="6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L72" s="7"/>
    </row>
    <row r="73" spans="10:38" x14ac:dyDescent="0.25">
      <c r="V73" s="6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L73" s="7"/>
    </row>
    <row r="74" spans="10:38" x14ac:dyDescent="0.25">
      <c r="V74" s="6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L74" s="7"/>
    </row>
    <row r="75" spans="10:38" x14ac:dyDescent="0.25">
      <c r="V75" s="6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L75" s="7"/>
    </row>
    <row r="76" spans="10:38" x14ac:dyDescent="0.25">
      <c r="V76" s="6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L76" s="7"/>
    </row>
    <row r="77" spans="10:38" x14ac:dyDescent="0.25">
      <c r="V77" s="6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L77" s="7"/>
    </row>
    <row r="78" spans="10:38" x14ac:dyDescent="0.25">
      <c r="V78" s="6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L78" s="7"/>
    </row>
    <row r="79" spans="10:38" x14ac:dyDescent="0.25">
      <c r="V79" s="6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L79" s="7"/>
    </row>
    <row r="80" spans="10:38" x14ac:dyDescent="0.25">
      <c r="V80" s="6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L80" s="7"/>
    </row>
    <row r="81" spans="4:38" x14ac:dyDescent="0.25">
      <c r="V81" s="6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L81" s="7"/>
    </row>
    <row r="82" spans="4:38" x14ac:dyDescent="0.25">
      <c r="V82" s="6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L82" s="7"/>
    </row>
    <row r="83" spans="4:38" x14ac:dyDescent="0.25">
      <c r="V83" s="6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L83" s="7"/>
    </row>
    <row r="84" spans="4:38" x14ac:dyDescent="0.25">
      <c r="V84" s="6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L84" s="7"/>
    </row>
    <row r="85" spans="4:38" x14ac:dyDescent="0.25">
      <c r="V85" s="6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L85" s="7"/>
    </row>
    <row r="86" spans="4:38" x14ac:dyDescent="0.25">
      <c r="V86" s="6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L86" s="7"/>
    </row>
    <row r="87" spans="4:38" x14ac:dyDescent="0.25">
      <c r="V87" s="6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L87" s="7"/>
    </row>
    <row r="88" spans="4:38" x14ac:dyDescent="0.25">
      <c r="V88" s="6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L88" s="7"/>
    </row>
    <row r="89" spans="4:38" x14ac:dyDescent="0.25">
      <c r="V89" s="6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L89" s="7"/>
    </row>
    <row r="90" spans="4:38" x14ac:dyDescent="0.25">
      <c r="V90" s="6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L90" s="7"/>
    </row>
    <row r="91" spans="4:38" x14ac:dyDescent="0.25">
      <c r="V91" s="6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L91" s="7"/>
    </row>
    <row r="92" spans="4:38" x14ac:dyDescent="0.25">
      <c r="V92" s="6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L92" s="7"/>
    </row>
    <row r="93" spans="4:38" x14ac:dyDescent="0.25">
      <c r="V93" s="6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L93" s="7"/>
    </row>
    <row r="94" spans="4:38" x14ac:dyDescent="0.25">
      <c r="V94" s="6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L94" s="7"/>
    </row>
    <row r="95" spans="4:38" x14ac:dyDescent="0.25">
      <c r="V95" s="6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L95" s="7"/>
    </row>
    <row r="96" spans="4:38" x14ac:dyDescent="0.25">
      <c r="D96" s="13" t="s">
        <v>61</v>
      </c>
      <c r="V96" s="6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L96" s="7"/>
    </row>
    <row r="97" spans="4:38" x14ac:dyDescent="0.25">
      <c r="D97" s="35" t="s">
        <v>74</v>
      </c>
      <c r="V97" s="6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L97" s="7"/>
    </row>
    <row r="98" spans="4:38" x14ac:dyDescent="0.25">
      <c r="V98" s="6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L98" s="7"/>
    </row>
    <row r="99" spans="4:38" x14ac:dyDescent="0.25">
      <c r="V99" s="6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L99" s="7"/>
    </row>
    <row r="100" spans="4:38" x14ac:dyDescent="0.25">
      <c r="V100" s="6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L100" s="7"/>
    </row>
    <row r="101" spans="4:38" x14ac:dyDescent="0.25">
      <c r="V101" s="6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1"/>
      <c r="AL101" s="7"/>
    </row>
    <row r="102" spans="4:38" x14ac:dyDescent="0.25">
      <c r="V102" s="6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L102" s="7"/>
    </row>
    <row r="103" spans="4:38" x14ac:dyDescent="0.25">
      <c r="V103" s="6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L103" s="7"/>
    </row>
    <row r="104" spans="4:38" x14ac:dyDescent="0.25">
      <c r="V104" s="6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L104" s="7"/>
    </row>
    <row r="105" spans="4:38" x14ac:dyDescent="0.25">
      <c r="V105" s="6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L105" s="7"/>
    </row>
    <row r="106" spans="4:38" x14ac:dyDescent="0.25">
      <c r="V106" s="6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L106" s="7"/>
    </row>
    <row r="107" spans="4:38" x14ac:dyDescent="0.25">
      <c r="V107" s="6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L107" s="7"/>
    </row>
    <row r="108" spans="4:38" x14ac:dyDescent="0.25">
      <c r="V108" s="6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L108" s="7"/>
    </row>
    <row r="109" spans="4:38" x14ac:dyDescent="0.25">
      <c r="V109" s="6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L109" s="7"/>
    </row>
    <row r="110" spans="4:38" x14ac:dyDescent="0.25">
      <c r="V110" s="6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L110" s="7"/>
    </row>
    <row r="111" spans="4:38" x14ac:dyDescent="0.25">
      <c r="V111" s="6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L111" s="7"/>
    </row>
    <row r="112" spans="4:38" x14ac:dyDescent="0.25">
      <c r="V112" s="6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L112" s="7"/>
    </row>
    <row r="113" spans="22:38" x14ac:dyDescent="0.25">
      <c r="V113" s="6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L113" s="7"/>
    </row>
    <row r="114" spans="22:38" x14ac:dyDescent="0.25">
      <c r="V114" s="6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L114" s="7"/>
    </row>
    <row r="115" spans="22:38" x14ac:dyDescent="0.25">
      <c r="V115" s="6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L115" s="7"/>
    </row>
    <row r="116" spans="22:38" x14ac:dyDescent="0.25">
      <c r="V116" s="6"/>
      <c r="AL116" s="7"/>
    </row>
    <row r="117" spans="22:38" x14ac:dyDescent="0.25">
      <c r="V117" s="6"/>
      <c r="AL117" s="7"/>
    </row>
    <row r="118" spans="22:38" x14ac:dyDescent="0.25">
      <c r="V118" s="6"/>
      <c r="AL118" s="7"/>
    </row>
    <row r="119" spans="22:38" x14ac:dyDescent="0.25">
      <c r="V119" s="6"/>
      <c r="AL119" s="7"/>
    </row>
    <row r="120" spans="22:38" x14ac:dyDescent="0.25">
      <c r="V120" s="6"/>
      <c r="AL120" s="7"/>
    </row>
    <row r="121" spans="22:38" x14ac:dyDescent="0.25">
      <c r="V121" s="6"/>
      <c r="AL121" s="7"/>
    </row>
    <row r="122" spans="22:38" x14ac:dyDescent="0.25">
      <c r="V122" s="8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10"/>
    </row>
    <row r="133" spans="4:38" x14ac:dyDescent="0.25">
      <c r="V133" s="43" t="s">
        <v>31</v>
      </c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44"/>
      <c r="AL133" s="45"/>
    </row>
    <row r="134" spans="4:38" x14ac:dyDescent="0.25">
      <c r="V134" s="11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4"/>
      <c r="AJ134" s="4"/>
      <c r="AK134" s="4"/>
      <c r="AL134" s="5"/>
    </row>
    <row r="135" spans="4:38" x14ac:dyDescent="0.25">
      <c r="V135" s="6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L135" s="7"/>
    </row>
    <row r="136" spans="4:38" x14ac:dyDescent="0.25">
      <c r="V136" s="6"/>
      <c r="W136" s="27"/>
      <c r="X136" s="27"/>
      <c r="Y136" s="27"/>
      <c r="Z136" s="27"/>
      <c r="AA136" s="27"/>
      <c r="AB136" s="27"/>
      <c r="AC136" s="27"/>
      <c r="AD136" s="27"/>
      <c r="AE136" s="27"/>
      <c r="AF136" s="27"/>
      <c r="AG136" s="27"/>
      <c r="AH136" s="27"/>
      <c r="AL136" s="7"/>
    </row>
    <row r="137" spans="4:38" x14ac:dyDescent="0.25">
      <c r="V137" s="6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L137" s="7"/>
    </row>
    <row r="138" spans="4:38" x14ac:dyDescent="0.25">
      <c r="V138" s="6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  <c r="AL138" s="7"/>
    </row>
    <row r="139" spans="4:38" x14ac:dyDescent="0.25">
      <c r="V139" s="6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8"/>
      <c r="AH139" s="18"/>
      <c r="AL139" s="7"/>
    </row>
    <row r="140" spans="4:38" x14ac:dyDescent="0.25">
      <c r="V140" s="6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18"/>
      <c r="AL140" s="7"/>
    </row>
    <row r="141" spans="4:38" x14ac:dyDescent="0.25">
      <c r="U141" s="29"/>
      <c r="V141" s="6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8"/>
      <c r="AH141" s="18"/>
      <c r="AL141" s="7"/>
    </row>
    <row r="142" spans="4:38" x14ac:dyDescent="0.25">
      <c r="U142" s="29"/>
      <c r="V142" s="6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L142" s="7"/>
    </row>
    <row r="143" spans="4:38" x14ac:dyDescent="0.25">
      <c r="D143" s="13" t="s">
        <v>61</v>
      </c>
      <c r="U143" s="29"/>
      <c r="V143" s="6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8"/>
      <c r="AH143" s="18"/>
      <c r="AI143" s="18"/>
      <c r="AL143" s="7"/>
    </row>
    <row r="144" spans="4:38" x14ac:dyDescent="0.25">
      <c r="D144" s="35" t="s">
        <v>74</v>
      </c>
      <c r="U144" s="29"/>
      <c r="V144" s="6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L144" s="7"/>
    </row>
    <row r="145" spans="21:38" x14ac:dyDescent="0.25">
      <c r="U145" s="29"/>
      <c r="V145" s="6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L145" s="7"/>
    </row>
    <row r="146" spans="21:38" x14ac:dyDescent="0.25">
      <c r="U146" s="29"/>
      <c r="V146" s="6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L146" s="7"/>
    </row>
    <row r="147" spans="21:38" x14ac:dyDescent="0.25">
      <c r="U147" s="29"/>
      <c r="V147" s="6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L147" s="7"/>
    </row>
    <row r="148" spans="21:38" x14ac:dyDescent="0.25">
      <c r="U148" s="29"/>
      <c r="V148" s="6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L148" s="7"/>
    </row>
    <row r="149" spans="21:38" x14ac:dyDescent="0.25">
      <c r="U149" s="29"/>
      <c r="V149" s="6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L149" s="7"/>
    </row>
    <row r="150" spans="21:38" x14ac:dyDescent="0.25">
      <c r="U150" s="29"/>
      <c r="V150" s="6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8"/>
      <c r="AH150" s="18"/>
      <c r="AL150" s="7"/>
    </row>
    <row r="151" spans="21:38" x14ac:dyDescent="0.25">
      <c r="U151" s="29"/>
      <c r="V151" s="6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L151" s="7"/>
    </row>
    <row r="152" spans="21:38" x14ac:dyDescent="0.25">
      <c r="U152" s="29"/>
      <c r="V152" s="6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L152" s="7"/>
    </row>
    <row r="153" spans="21:38" x14ac:dyDescent="0.25">
      <c r="U153" s="29"/>
      <c r="V153" s="6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L153" s="7"/>
    </row>
    <row r="154" spans="21:38" x14ac:dyDescent="0.25">
      <c r="U154" s="29"/>
      <c r="V154" s="6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L154" s="7"/>
    </row>
    <row r="155" spans="21:38" x14ac:dyDescent="0.25">
      <c r="U155" s="29"/>
      <c r="V155" s="6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L155" s="7"/>
    </row>
    <row r="156" spans="21:38" x14ac:dyDescent="0.25">
      <c r="U156" s="29"/>
      <c r="V156" s="6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L156" s="7"/>
    </row>
    <row r="157" spans="21:38" x14ac:dyDescent="0.25">
      <c r="U157" s="29"/>
      <c r="V157" s="6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L157" s="7"/>
    </row>
    <row r="158" spans="21:38" x14ac:dyDescent="0.25">
      <c r="U158" s="29"/>
      <c r="V158" s="6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L158" s="7"/>
    </row>
    <row r="159" spans="21:38" x14ac:dyDescent="0.25">
      <c r="U159" s="29"/>
      <c r="V159" s="6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8"/>
      <c r="AH159" s="18"/>
      <c r="AL159" s="7"/>
    </row>
    <row r="160" spans="21:38" x14ac:dyDescent="0.25">
      <c r="U160" s="29"/>
      <c r="V160" s="6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  <c r="AG160" s="18"/>
      <c r="AH160" s="18"/>
      <c r="AL160" s="7"/>
    </row>
    <row r="161" spans="4:38" x14ac:dyDescent="0.25">
      <c r="D161" s="13" t="s">
        <v>61</v>
      </c>
      <c r="U161" s="29"/>
      <c r="V161" s="6"/>
      <c r="AL161" s="7"/>
    </row>
    <row r="162" spans="4:38" x14ac:dyDescent="0.25">
      <c r="D162" s="35" t="s">
        <v>74</v>
      </c>
      <c r="U162" s="29"/>
      <c r="V162" s="6"/>
      <c r="AL162" s="7"/>
    </row>
    <row r="163" spans="4:38" x14ac:dyDescent="0.25">
      <c r="U163" s="29"/>
      <c r="V163" s="6"/>
      <c r="AL163" s="7"/>
    </row>
    <row r="164" spans="4:38" x14ac:dyDescent="0.25">
      <c r="U164" s="29"/>
      <c r="V164" s="6"/>
      <c r="AL164" s="7"/>
    </row>
    <row r="165" spans="4:38" x14ac:dyDescent="0.25">
      <c r="U165" s="29"/>
      <c r="V165" s="6"/>
      <c r="AL165" s="7"/>
    </row>
    <row r="166" spans="4:38" x14ac:dyDescent="0.25">
      <c r="U166" s="29"/>
      <c r="V166" s="6"/>
      <c r="AL166" s="7"/>
    </row>
    <row r="167" spans="4:38" x14ac:dyDescent="0.25">
      <c r="U167" s="29"/>
      <c r="V167" s="6"/>
      <c r="AL167" s="7"/>
    </row>
    <row r="168" spans="4:38" x14ac:dyDescent="0.25">
      <c r="U168" s="29"/>
      <c r="V168" s="6"/>
      <c r="AL168" s="7"/>
    </row>
    <row r="169" spans="4:38" x14ac:dyDescent="0.25">
      <c r="U169" s="29"/>
      <c r="V169" s="6"/>
      <c r="AL169" s="7"/>
    </row>
    <row r="170" spans="4:38" x14ac:dyDescent="0.25">
      <c r="U170" s="29"/>
      <c r="V170" s="8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10"/>
    </row>
    <row r="171" spans="4:38" x14ac:dyDescent="0.25">
      <c r="U171" s="29"/>
      <c r="V171" s="11"/>
    </row>
    <row r="172" spans="4:38" x14ac:dyDescent="0.25">
      <c r="U172" s="29"/>
      <c r="V172" s="6"/>
    </row>
    <row r="173" spans="4:38" x14ac:dyDescent="0.25">
      <c r="U173" s="29"/>
      <c r="V173" s="6"/>
    </row>
    <row r="174" spans="4:38" x14ac:dyDescent="0.25">
      <c r="U174" s="29"/>
      <c r="V174" s="6"/>
    </row>
    <row r="175" spans="4:38" x14ac:dyDescent="0.25">
      <c r="U175" s="29"/>
      <c r="V175" s="6"/>
    </row>
    <row r="176" spans="4:38" x14ac:dyDescent="0.25">
      <c r="U176" s="29"/>
      <c r="V176" s="6"/>
    </row>
    <row r="177" spans="4:38" x14ac:dyDescent="0.25">
      <c r="U177" s="29"/>
      <c r="V177" s="6"/>
    </row>
    <row r="178" spans="4:38" x14ac:dyDescent="0.25">
      <c r="U178" s="29"/>
      <c r="V178" s="6"/>
    </row>
    <row r="179" spans="4:38" x14ac:dyDescent="0.25">
      <c r="U179" s="29"/>
      <c r="V179" s="6"/>
    </row>
    <row r="180" spans="4:38" x14ac:dyDescent="0.25">
      <c r="U180" s="29"/>
      <c r="V180" s="8"/>
    </row>
    <row r="181" spans="4:38" x14ac:dyDescent="0.25">
      <c r="V181" s="43" t="s">
        <v>44</v>
      </c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44"/>
      <c r="AJ181" s="44"/>
      <c r="AK181" s="44"/>
      <c r="AL181" s="45"/>
    </row>
    <row r="182" spans="4:38" x14ac:dyDescent="0.25">
      <c r="V182" s="11"/>
      <c r="W182" s="17">
        <v>41334</v>
      </c>
      <c r="X182" s="17">
        <v>41699</v>
      </c>
      <c r="Y182" s="17">
        <v>42064</v>
      </c>
      <c r="Z182" s="17">
        <v>42430</v>
      </c>
      <c r="AA182" s="17">
        <v>42795</v>
      </c>
      <c r="AB182" s="17">
        <v>43160</v>
      </c>
      <c r="AC182" s="17">
        <v>43525</v>
      </c>
      <c r="AD182" s="17">
        <v>43891</v>
      </c>
      <c r="AE182" s="17">
        <v>44256</v>
      </c>
      <c r="AF182" s="17">
        <v>44621</v>
      </c>
      <c r="AG182" s="17">
        <v>44986</v>
      </c>
      <c r="AH182" s="17">
        <v>45352</v>
      </c>
      <c r="AI182" s="4"/>
      <c r="AJ182" s="4"/>
      <c r="AK182" s="4"/>
      <c r="AL182" s="5"/>
    </row>
    <row r="183" spans="4:38" x14ac:dyDescent="0.25">
      <c r="V183" s="6" t="s">
        <v>46</v>
      </c>
      <c r="W183" s="2">
        <v>11615</v>
      </c>
      <c r="X183" s="2">
        <v>14751</v>
      </c>
      <c r="Y183" s="2">
        <v>19369</v>
      </c>
      <c r="Z183" s="2">
        <v>19109</v>
      </c>
      <c r="AA183" s="2">
        <v>25223</v>
      </c>
      <c r="AB183" s="2">
        <v>25067</v>
      </c>
      <c r="AC183" s="2">
        <v>28593</v>
      </c>
      <c r="AD183" s="2">
        <v>32369</v>
      </c>
      <c r="AE183" s="2">
        <v>38802</v>
      </c>
      <c r="AF183" s="2">
        <v>39949</v>
      </c>
      <c r="AG183" s="2">
        <v>41965</v>
      </c>
      <c r="AH183" s="2">
        <v>44338</v>
      </c>
      <c r="AL183" s="7"/>
    </row>
    <row r="184" spans="4:38" x14ac:dyDescent="0.25">
      <c r="V184" s="6" t="s">
        <v>47</v>
      </c>
      <c r="W184" s="2">
        <v>18203</v>
      </c>
      <c r="X184" s="2">
        <v>25246</v>
      </c>
      <c r="Y184" s="2">
        <v>26103</v>
      </c>
      <c r="Z184" s="2">
        <v>31631</v>
      </c>
      <c r="AA184" s="2">
        <v>33800</v>
      </c>
      <c r="AB184" s="2">
        <v>32885</v>
      </c>
      <c r="AC184" s="2">
        <v>40720</v>
      </c>
      <c r="AD184" s="2">
        <v>42882</v>
      </c>
      <c r="AE184" s="2">
        <v>47031</v>
      </c>
      <c r="AF184" s="2">
        <v>54204</v>
      </c>
      <c r="AG184" s="2">
        <v>59148</v>
      </c>
      <c r="AH184" s="2">
        <v>63709</v>
      </c>
      <c r="AL184" s="7"/>
    </row>
    <row r="185" spans="4:38" x14ac:dyDescent="0.25">
      <c r="V185" s="6" t="s">
        <v>93</v>
      </c>
      <c r="W185" s="2">
        <v>-2623</v>
      </c>
      <c r="X185" s="2">
        <v>-4016</v>
      </c>
      <c r="Y185" s="2">
        <v>-2158</v>
      </c>
      <c r="Z185" s="2">
        <v>-2936</v>
      </c>
      <c r="AA185" s="2">
        <v>680</v>
      </c>
      <c r="AB185" s="2">
        <v>-1833</v>
      </c>
      <c r="AC185" s="2">
        <v>-2883</v>
      </c>
      <c r="AD185" s="2">
        <v>-3295</v>
      </c>
      <c r="AE185" s="2">
        <v>1059</v>
      </c>
      <c r="AF185" s="2">
        <v>-5144</v>
      </c>
      <c r="AG185" s="2">
        <v>-7683</v>
      </c>
      <c r="AH185" s="2">
        <v>-3332</v>
      </c>
      <c r="AL185" s="7"/>
    </row>
    <row r="186" spans="4:38" x14ac:dyDescent="0.25">
      <c r="V186" s="6" t="s">
        <v>94</v>
      </c>
      <c r="W186" s="2">
        <v>-3</v>
      </c>
      <c r="X186" s="2">
        <v>6</v>
      </c>
      <c r="Y186" s="2">
        <v>-1</v>
      </c>
      <c r="Z186" s="2">
        <v>0</v>
      </c>
      <c r="AA186" s="2">
        <v>0</v>
      </c>
      <c r="AB186" s="2">
        <v>-5</v>
      </c>
      <c r="AC186" s="2">
        <v>16</v>
      </c>
      <c r="AD186" s="2">
        <v>5</v>
      </c>
      <c r="AE186" s="2">
        <v>-3</v>
      </c>
      <c r="AF186" s="2">
        <v>-12</v>
      </c>
      <c r="AG186" s="2">
        <v>-8</v>
      </c>
      <c r="AH186" s="2">
        <v>0</v>
      </c>
      <c r="AL186" s="7"/>
    </row>
    <row r="187" spans="4:38" x14ac:dyDescent="0.25">
      <c r="V187" s="6" t="s">
        <v>95</v>
      </c>
      <c r="W187" s="2">
        <v>2310</v>
      </c>
      <c r="X187" s="2">
        <v>1667</v>
      </c>
      <c r="Y187" s="2">
        <v>0</v>
      </c>
      <c r="Z187" s="2">
        <v>-2039</v>
      </c>
      <c r="AA187" s="2">
        <v>-201</v>
      </c>
      <c r="AB187" s="2">
        <v>-346</v>
      </c>
      <c r="AC187" s="2">
        <v>1496</v>
      </c>
      <c r="AD187" s="2">
        <v>446</v>
      </c>
      <c r="AE187" s="2">
        <v>-93</v>
      </c>
      <c r="AF187" s="2">
        <v>186</v>
      </c>
      <c r="AG187" s="2">
        <v>2036</v>
      </c>
      <c r="AH187" s="2">
        <v>-632</v>
      </c>
      <c r="AL187" s="7"/>
    </row>
    <row r="188" spans="4:38" x14ac:dyDescent="0.25">
      <c r="V188" s="6" t="s">
        <v>96</v>
      </c>
      <c r="W188" s="2">
        <v>-557</v>
      </c>
      <c r="X188" s="2">
        <v>-296</v>
      </c>
      <c r="Y188">
        <v>-712</v>
      </c>
      <c r="Z188">
        <v>-798</v>
      </c>
      <c r="AA188">
        <v>0</v>
      </c>
      <c r="AB188" s="2">
        <v>0</v>
      </c>
      <c r="AC188" s="2">
        <v>-499</v>
      </c>
      <c r="AD188" s="2">
        <v>0</v>
      </c>
      <c r="AE188" s="2">
        <v>-17</v>
      </c>
      <c r="AF188" s="2">
        <v>-116</v>
      </c>
      <c r="AG188" s="2">
        <v>261</v>
      </c>
      <c r="AH188" s="2">
        <v>-301</v>
      </c>
      <c r="AL188" s="7"/>
    </row>
    <row r="189" spans="4:38" x14ac:dyDescent="0.25">
      <c r="V189" s="6" t="s">
        <v>48</v>
      </c>
      <c r="W189" s="2">
        <v>-893</v>
      </c>
      <c r="X189" s="2">
        <v>-812</v>
      </c>
      <c r="Y189" s="2">
        <v>3618</v>
      </c>
      <c r="Z189" s="2">
        <v>829</v>
      </c>
      <c r="AA189" s="2">
        <v>-1110</v>
      </c>
      <c r="AB189" s="2">
        <v>1975</v>
      </c>
      <c r="AC189" s="2">
        <v>-299</v>
      </c>
      <c r="AD189" s="2">
        <v>-1823</v>
      </c>
      <c r="AE189" s="2">
        <v>-83</v>
      </c>
      <c r="AF189" s="2">
        <v>2317</v>
      </c>
      <c r="AG189" s="2">
        <v>1177</v>
      </c>
      <c r="AH189" s="2">
        <v>-2617</v>
      </c>
      <c r="AL189" s="7"/>
    </row>
    <row r="190" spans="4:38" x14ac:dyDescent="0.25">
      <c r="D190" s="13" t="s">
        <v>61</v>
      </c>
      <c r="S190" s="34" t="s">
        <v>70</v>
      </c>
      <c r="V190" s="6" t="s">
        <v>49</v>
      </c>
      <c r="W190" s="2">
        <v>-1767</v>
      </c>
      <c r="X190" s="2">
        <v>-3451</v>
      </c>
      <c r="Y190" s="2">
        <v>747</v>
      </c>
      <c r="Z190" s="2">
        <v>-4944</v>
      </c>
      <c r="AA190" s="2">
        <v>-631</v>
      </c>
      <c r="AB190" s="2">
        <v>-209</v>
      </c>
      <c r="AC190" s="2">
        <v>-2169</v>
      </c>
      <c r="AD190" s="2">
        <v>-4667</v>
      </c>
      <c r="AE190" s="2">
        <v>863</v>
      </c>
      <c r="AF190" s="2">
        <v>-2769</v>
      </c>
      <c r="AG190" s="2">
        <v>-4217</v>
      </c>
      <c r="AH190" s="2">
        <v>-6882</v>
      </c>
      <c r="AL190" s="7"/>
    </row>
    <row r="191" spans="4:38" x14ac:dyDescent="0.25">
      <c r="D191" s="35" t="s">
        <v>74</v>
      </c>
      <c r="V191" s="6" t="s">
        <v>50</v>
      </c>
      <c r="W191" s="2">
        <v>-4822</v>
      </c>
      <c r="X191" s="2">
        <v>-7044</v>
      </c>
      <c r="Y191" s="2">
        <v>-7482</v>
      </c>
      <c r="Z191" s="2">
        <v>-7578</v>
      </c>
      <c r="AA191" s="2">
        <v>-7946</v>
      </c>
      <c r="AB191" s="2">
        <v>-7609</v>
      </c>
      <c r="AC191" s="2">
        <v>-9958</v>
      </c>
      <c r="AD191" s="2">
        <v>-5846</v>
      </c>
      <c r="AE191" s="2">
        <v>-9092</v>
      </c>
      <c r="AF191" s="2">
        <v>-11486</v>
      </c>
      <c r="AG191" s="2">
        <v>-12966</v>
      </c>
      <c r="AH191" s="2">
        <v>-12489</v>
      </c>
      <c r="AL191" s="7"/>
    </row>
    <row r="192" spans="4:38" x14ac:dyDescent="0.25">
      <c r="V192" s="6" t="s">
        <v>51</v>
      </c>
      <c r="W192" s="2">
        <v>-6038</v>
      </c>
      <c r="X192" s="2">
        <v>-9452</v>
      </c>
      <c r="Y192" s="2">
        <v>-1807</v>
      </c>
      <c r="Z192" s="2">
        <v>-5010</v>
      </c>
      <c r="AA192" s="2">
        <v>-16895</v>
      </c>
      <c r="AB192" s="2">
        <v>3104</v>
      </c>
      <c r="AC192" s="2">
        <v>1645</v>
      </c>
      <c r="AD192" s="2">
        <v>8968</v>
      </c>
      <c r="AE192" s="2">
        <v>-7956</v>
      </c>
      <c r="AF192" s="2">
        <v>-738</v>
      </c>
      <c r="AG192" s="2">
        <v>548</v>
      </c>
      <c r="AH192" s="2">
        <v>6091</v>
      </c>
      <c r="AL192" s="7"/>
    </row>
    <row r="193" spans="22:38" x14ac:dyDescent="0.25">
      <c r="V193" s="6" t="s">
        <v>52</v>
      </c>
      <c r="W193" s="2">
        <v>-2638</v>
      </c>
      <c r="X193" s="2">
        <v>-3126</v>
      </c>
      <c r="Y193" s="2">
        <v>-2949</v>
      </c>
      <c r="Z193" s="2">
        <v>-1987</v>
      </c>
      <c r="AA193" s="2">
        <v>-1989</v>
      </c>
      <c r="AB193" s="2">
        <v>-1862</v>
      </c>
      <c r="AC193" s="2">
        <v>-2231</v>
      </c>
      <c r="AD193" s="2">
        <v>-2730</v>
      </c>
      <c r="AE193" s="2">
        <v>-3176</v>
      </c>
      <c r="AF193" s="2">
        <v>-2995</v>
      </c>
      <c r="AG193" s="2">
        <v>-3100</v>
      </c>
      <c r="AH193" s="2">
        <v>-2674</v>
      </c>
      <c r="AL193" s="7"/>
    </row>
    <row r="194" spans="22:38" x14ac:dyDescent="0.25">
      <c r="V194" s="6" t="s">
        <v>53</v>
      </c>
      <c r="W194" s="2">
        <v>5</v>
      </c>
      <c r="X194" s="2">
        <v>14</v>
      </c>
      <c r="Y194" s="2">
        <v>7</v>
      </c>
      <c r="Z194" s="2">
        <v>22</v>
      </c>
      <c r="AA194" s="2">
        <v>36</v>
      </c>
      <c r="AB194" s="2">
        <v>58</v>
      </c>
      <c r="AC194" s="2">
        <v>99</v>
      </c>
      <c r="AD194" s="2">
        <v>161</v>
      </c>
      <c r="AE194" s="2">
        <v>37</v>
      </c>
      <c r="AF194" s="2">
        <v>31</v>
      </c>
      <c r="AG194" s="2">
        <v>37</v>
      </c>
      <c r="AH194" s="2">
        <v>24</v>
      </c>
      <c r="AL194" s="7"/>
    </row>
    <row r="195" spans="22:38" x14ac:dyDescent="0.25">
      <c r="V195" s="6" t="s">
        <v>71</v>
      </c>
      <c r="W195" s="2">
        <v>-28738</v>
      </c>
      <c r="X195" s="2">
        <v>-82613</v>
      </c>
      <c r="Y195" s="2">
        <v>-67371</v>
      </c>
      <c r="Z195" s="2">
        <v>-116847</v>
      </c>
      <c r="AA195" s="2">
        <v>-121423</v>
      </c>
      <c r="AB195" s="2">
        <v>-97473</v>
      </c>
      <c r="AC195" s="2">
        <v>-96751</v>
      </c>
      <c r="AD195" s="2">
        <v>-80002</v>
      </c>
      <c r="AE195" s="2">
        <v>-54462</v>
      </c>
      <c r="AF195" s="2">
        <v>-75374</v>
      </c>
      <c r="AG195" s="2">
        <v>-129745</v>
      </c>
      <c r="AH195" s="2">
        <v>-141011</v>
      </c>
      <c r="AL195" s="7"/>
    </row>
    <row r="196" spans="22:38" x14ac:dyDescent="0.25">
      <c r="V196" s="6" t="s">
        <v>72</v>
      </c>
      <c r="W196" s="2">
        <v>28218</v>
      </c>
      <c r="X196" s="2">
        <v>81327</v>
      </c>
      <c r="Y196" s="2">
        <v>69361</v>
      </c>
      <c r="Z196" s="2">
        <v>97154</v>
      </c>
      <c r="AA196" s="2">
        <v>102798</v>
      </c>
      <c r="AB196" s="2">
        <v>103482</v>
      </c>
      <c r="AC196" s="2">
        <v>104133</v>
      </c>
      <c r="AD196" s="2">
        <v>84089</v>
      </c>
      <c r="AE196" s="2">
        <v>51630</v>
      </c>
      <c r="AF196" s="2">
        <v>73852</v>
      </c>
      <c r="AG196" s="2">
        <v>122687</v>
      </c>
      <c r="AH196" s="2">
        <v>147204</v>
      </c>
      <c r="AL196" s="7"/>
    </row>
    <row r="197" spans="22:38" x14ac:dyDescent="0.25">
      <c r="V197" s="6" t="s">
        <v>54</v>
      </c>
      <c r="W197" s="2">
        <v>799</v>
      </c>
      <c r="X197" s="2">
        <v>1368</v>
      </c>
      <c r="Y197" s="2">
        <v>1994</v>
      </c>
      <c r="Z197" s="2">
        <v>1816</v>
      </c>
      <c r="AA197" s="2">
        <v>1788</v>
      </c>
      <c r="AB197" s="2">
        <v>2623</v>
      </c>
      <c r="AC197" s="2">
        <v>2619</v>
      </c>
      <c r="AD197" s="2">
        <v>3729</v>
      </c>
      <c r="AE197" s="2">
        <v>2730</v>
      </c>
      <c r="AF197" s="2">
        <v>2700</v>
      </c>
      <c r="AG197" s="2">
        <v>3080</v>
      </c>
      <c r="AH197" s="2">
        <v>2990</v>
      </c>
      <c r="AL197" s="7"/>
    </row>
    <row r="198" spans="22:38" x14ac:dyDescent="0.25">
      <c r="V198" s="6" t="s">
        <v>80</v>
      </c>
      <c r="W198" s="2">
        <v>6</v>
      </c>
      <c r="X198" s="2">
        <v>9</v>
      </c>
      <c r="Y198" s="2">
        <v>9</v>
      </c>
      <c r="Z198" s="2">
        <v>11</v>
      </c>
      <c r="AA198" s="2">
        <v>1</v>
      </c>
      <c r="AB198" s="2">
        <v>9</v>
      </c>
      <c r="AC198" s="2">
        <v>18</v>
      </c>
      <c r="AD198" s="2">
        <v>8</v>
      </c>
      <c r="AE198" s="2">
        <v>8</v>
      </c>
      <c r="AF198" s="2">
        <v>4</v>
      </c>
      <c r="AG198" s="2">
        <v>13</v>
      </c>
      <c r="AH198" s="2">
        <v>26</v>
      </c>
      <c r="AL198" s="7"/>
    </row>
    <row r="199" spans="22:38" x14ac:dyDescent="0.25">
      <c r="V199" s="6" t="s">
        <v>97</v>
      </c>
      <c r="W199" s="2">
        <v>-163</v>
      </c>
      <c r="X199" s="2">
        <v>-452</v>
      </c>
      <c r="Y199" s="2">
        <v>-264</v>
      </c>
      <c r="Z199" s="2">
        <v>0</v>
      </c>
      <c r="AA199" s="2">
        <v>0</v>
      </c>
      <c r="AB199" s="2">
        <v>0</v>
      </c>
      <c r="AC199" s="2">
        <v>-50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L199" s="7"/>
    </row>
    <row r="200" spans="22:38" x14ac:dyDescent="0.25">
      <c r="V200" s="6" t="s">
        <v>98</v>
      </c>
      <c r="W200" s="2">
        <v>-2751</v>
      </c>
      <c r="X200" s="2">
        <v>875</v>
      </c>
      <c r="Y200" s="2">
        <v>155</v>
      </c>
      <c r="Z200" s="2">
        <v>-1460</v>
      </c>
      <c r="AA200" s="2">
        <v>1619</v>
      </c>
      <c r="AB200" s="2">
        <v>-2230</v>
      </c>
      <c r="AC200" s="2">
        <v>-2927</v>
      </c>
      <c r="AD200">
        <v>-473</v>
      </c>
      <c r="AE200" s="2">
        <v>-3058</v>
      </c>
      <c r="AF200" s="2">
        <v>4879</v>
      </c>
      <c r="AG200" s="2">
        <v>5361</v>
      </c>
      <c r="AH200">
        <v>846</v>
      </c>
      <c r="AL200" s="7"/>
    </row>
    <row r="201" spans="22:38" x14ac:dyDescent="0.25">
      <c r="V201" s="6" t="s">
        <v>55</v>
      </c>
      <c r="W201" s="2">
        <v>-776</v>
      </c>
      <c r="X201" s="2">
        <v>-6852</v>
      </c>
      <c r="Y201" s="2">
        <v>-2750</v>
      </c>
      <c r="Z201" s="2">
        <v>16281</v>
      </c>
      <c r="AA201" s="2">
        <v>275</v>
      </c>
      <c r="AB201" s="2">
        <v>-1503</v>
      </c>
      <c r="AC201" s="2">
        <v>-3265</v>
      </c>
      <c r="AD201" s="2">
        <v>4186</v>
      </c>
      <c r="AE201" s="2">
        <v>-1665</v>
      </c>
      <c r="AF201" s="2">
        <v>-3835</v>
      </c>
      <c r="AG201" s="2">
        <v>2215</v>
      </c>
      <c r="AH201" s="2">
        <v>-1314</v>
      </c>
      <c r="AL201" s="7"/>
    </row>
    <row r="202" spans="22:38" x14ac:dyDescent="0.25">
      <c r="V202" s="6" t="s">
        <v>56</v>
      </c>
      <c r="W202" s="2">
        <v>-5729</v>
      </c>
      <c r="X202" s="2">
        <v>-5673</v>
      </c>
      <c r="Y202" s="2">
        <v>-17168</v>
      </c>
      <c r="Z202" s="2">
        <v>-9666</v>
      </c>
      <c r="AA202" s="2">
        <v>-11026</v>
      </c>
      <c r="AB202" s="2">
        <v>-26885</v>
      </c>
      <c r="AC202" s="2">
        <v>-27897</v>
      </c>
      <c r="AD202" s="2">
        <v>-39915</v>
      </c>
      <c r="AE202" s="2">
        <v>-32634</v>
      </c>
      <c r="AF202" s="2">
        <v>-33581</v>
      </c>
      <c r="AG202" s="2">
        <v>-47878</v>
      </c>
      <c r="AH202" s="2">
        <v>-48536</v>
      </c>
      <c r="AL202" s="7"/>
    </row>
    <row r="203" spans="22:38" x14ac:dyDescent="0.25">
      <c r="V203" s="6" t="s">
        <v>73</v>
      </c>
      <c r="W203" s="2">
        <v>0</v>
      </c>
      <c r="X203" s="2">
        <v>0</v>
      </c>
      <c r="Y203" s="2">
        <v>0</v>
      </c>
      <c r="Z203" s="2">
        <v>2</v>
      </c>
      <c r="AA203" s="2">
        <v>0</v>
      </c>
      <c r="AB203" s="2">
        <v>0</v>
      </c>
      <c r="AC203" s="2">
        <v>0</v>
      </c>
      <c r="AD203" s="2">
        <v>0</v>
      </c>
      <c r="AE203" s="2">
        <v>0</v>
      </c>
      <c r="AF203" s="2">
        <v>0</v>
      </c>
      <c r="AG203" s="2">
        <v>18</v>
      </c>
      <c r="AH203" s="2">
        <v>425</v>
      </c>
      <c r="AL203" s="7"/>
    </row>
    <row r="204" spans="22:38" x14ac:dyDescent="0.25">
      <c r="V204" s="6" t="s">
        <v>99</v>
      </c>
      <c r="W204" s="2">
        <v>82</v>
      </c>
      <c r="X204" s="2">
        <v>8</v>
      </c>
      <c r="Y204" s="2">
        <v>43</v>
      </c>
      <c r="Z204" s="2">
        <v>0</v>
      </c>
      <c r="AA204" s="2">
        <v>87</v>
      </c>
      <c r="AB204" s="2">
        <v>0</v>
      </c>
      <c r="AC204" s="2">
        <v>0</v>
      </c>
      <c r="AD204" s="2">
        <v>0</v>
      </c>
      <c r="AE204" s="2">
        <v>0</v>
      </c>
      <c r="AF204" s="2">
        <v>0</v>
      </c>
      <c r="AG204" s="2">
        <v>0</v>
      </c>
      <c r="AH204" s="2">
        <v>0</v>
      </c>
      <c r="AL204" s="7"/>
    </row>
    <row r="205" spans="22:38" x14ac:dyDescent="0.25">
      <c r="V205" s="6" t="s">
        <v>100</v>
      </c>
      <c r="W205" s="2">
        <v>-3</v>
      </c>
      <c r="X205" s="2">
        <v>-1</v>
      </c>
      <c r="Y205" s="2">
        <v>0</v>
      </c>
      <c r="Z205" s="2">
        <v>-73</v>
      </c>
      <c r="AA205" s="2">
        <v>0</v>
      </c>
      <c r="AB205" s="2">
        <v>-19</v>
      </c>
      <c r="AC205">
        <v>-181</v>
      </c>
      <c r="AD205" s="2">
        <v>0</v>
      </c>
      <c r="AE205" s="2">
        <v>0</v>
      </c>
      <c r="AF205" s="2">
        <v>0</v>
      </c>
      <c r="AG205" s="2">
        <v>0</v>
      </c>
      <c r="AH205">
        <v>0</v>
      </c>
      <c r="AL205" s="7"/>
    </row>
    <row r="206" spans="22:38" x14ac:dyDescent="0.25">
      <c r="V206" s="6" t="s">
        <v>101</v>
      </c>
      <c r="W206" s="2">
        <v>-48</v>
      </c>
      <c r="X206" s="2">
        <v>-38</v>
      </c>
      <c r="Y206" s="2">
        <v>-105</v>
      </c>
      <c r="Z206" s="2">
        <v>-20</v>
      </c>
      <c r="AA206" s="2">
        <v>-20</v>
      </c>
      <c r="AB206" s="2">
        <v>-40</v>
      </c>
      <c r="AC206">
        <v>-186</v>
      </c>
      <c r="AD206">
        <v>-924</v>
      </c>
      <c r="AE206" s="2">
        <v>-634</v>
      </c>
      <c r="AF206" s="2">
        <v>-698</v>
      </c>
      <c r="AG206" s="2">
        <v>-779</v>
      </c>
      <c r="AH206" s="2">
        <v>-699</v>
      </c>
      <c r="AL206" s="7"/>
    </row>
    <row r="207" spans="22:38" x14ac:dyDescent="0.25">
      <c r="V207" s="6" t="s">
        <v>57</v>
      </c>
      <c r="W207" s="2">
        <v>-5737</v>
      </c>
      <c r="X207" s="2">
        <v>-5520</v>
      </c>
      <c r="Y207" s="2">
        <v>-17106</v>
      </c>
      <c r="Z207" s="2">
        <v>-9515</v>
      </c>
      <c r="AA207" s="2">
        <v>-10973</v>
      </c>
      <c r="AB207" s="2">
        <v>-10760</v>
      </c>
      <c r="AC207" s="2">
        <v>-11472</v>
      </c>
      <c r="AD207" s="2">
        <v>-37702</v>
      </c>
      <c r="AE207" s="2">
        <v>-10907</v>
      </c>
      <c r="AF207" s="2">
        <v>-13375</v>
      </c>
      <c r="AG207" s="2">
        <v>-41410</v>
      </c>
      <c r="AH207" s="2">
        <v>-25218</v>
      </c>
      <c r="AL207" s="7"/>
    </row>
    <row r="208" spans="22:38" x14ac:dyDescent="0.25">
      <c r="V208" s="6" t="s">
        <v>102</v>
      </c>
      <c r="W208" s="2">
        <v>0</v>
      </c>
      <c r="X208" s="2">
        <v>0</v>
      </c>
      <c r="Y208" s="2">
        <v>0</v>
      </c>
      <c r="Z208" s="2">
        <v>-60</v>
      </c>
      <c r="AA208" s="2">
        <v>-66</v>
      </c>
      <c r="AB208" s="2">
        <v>-24</v>
      </c>
      <c r="AC208" s="2">
        <v>-13</v>
      </c>
      <c r="AD208" s="2">
        <v>-1062</v>
      </c>
      <c r="AE208" s="2">
        <v>-1336</v>
      </c>
      <c r="AF208" s="2">
        <v>-1417</v>
      </c>
      <c r="AG208" s="2">
        <v>-1515</v>
      </c>
      <c r="AH208" s="2">
        <v>-1614</v>
      </c>
      <c r="AL208" s="7"/>
    </row>
    <row r="209" spans="22:38" x14ac:dyDescent="0.25">
      <c r="V209" s="6" t="s">
        <v>58</v>
      </c>
      <c r="W209" s="2">
        <v>-23</v>
      </c>
      <c r="X209" s="2">
        <v>-122</v>
      </c>
      <c r="Y209" s="2">
        <v>0</v>
      </c>
      <c r="Z209" s="2">
        <v>0</v>
      </c>
      <c r="AA209" s="2">
        <v>-54</v>
      </c>
      <c r="AB209" s="2">
        <v>-16042</v>
      </c>
      <c r="AC209" s="2">
        <v>-16045</v>
      </c>
      <c r="AD209" s="2">
        <v>-227</v>
      </c>
      <c r="AE209" s="2">
        <v>-19757</v>
      </c>
      <c r="AF209" s="2">
        <v>-18091</v>
      </c>
      <c r="AG209" s="2">
        <v>-4192</v>
      </c>
      <c r="AH209" s="2">
        <v>-21430</v>
      </c>
      <c r="AL209" s="7"/>
    </row>
    <row r="210" spans="22:38" x14ac:dyDescent="0.25">
      <c r="V210" s="6" t="s">
        <v>45</v>
      </c>
      <c r="W210" s="2">
        <v>-152</v>
      </c>
      <c r="X210" s="2">
        <v>-374</v>
      </c>
      <c r="Y210" s="2">
        <v>394</v>
      </c>
      <c r="Z210" s="2">
        <v>4433</v>
      </c>
      <c r="AA210" s="2">
        <v>-2698</v>
      </c>
      <c r="AB210" s="2">
        <v>1286</v>
      </c>
      <c r="AC210" s="2">
        <v>2341</v>
      </c>
      <c r="AD210" s="2">
        <v>1422</v>
      </c>
      <c r="AE210" s="2">
        <v>-1788</v>
      </c>
      <c r="AF210" s="2">
        <v>5630</v>
      </c>
      <c r="AG210" s="2">
        <v>-5365</v>
      </c>
      <c r="AH210" s="2">
        <v>1893</v>
      </c>
      <c r="AL210" s="7"/>
    </row>
    <row r="211" spans="22:38" x14ac:dyDescent="0.25">
      <c r="V211" s="6"/>
      <c r="AD211" s="2"/>
      <c r="AE211" s="2"/>
      <c r="AF211" s="2"/>
      <c r="AG211" s="2"/>
      <c r="AH211" s="2"/>
      <c r="AL211" s="7"/>
    </row>
    <row r="212" spans="22:38" x14ac:dyDescent="0.25">
      <c r="V212" s="6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L212" s="7"/>
    </row>
    <row r="213" spans="22:38" x14ac:dyDescent="0.25">
      <c r="V213" s="6"/>
      <c r="W213" s="2"/>
      <c r="X213" s="2"/>
      <c r="Y213" s="2"/>
      <c r="Z213" s="2"/>
      <c r="AA213" s="2"/>
      <c r="AC213" s="2"/>
      <c r="AD213" s="2"/>
      <c r="AE213" s="2"/>
      <c r="AF213" s="2"/>
      <c r="AG213" s="2"/>
      <c r="AH213" s="2"/>
      <c r="AL213" s="7"/>
    </row>
    <row r="214" spans="22:38" x14ac:dyDescent="0.25">
      <c r="V214" s="6"/>
      <c r="AD214" s="2"/>
      <c r="AL214" s="7"/>
    </row>
    <row r="215" spans="22:38" x14ac:dyDescent="0.25">
      <c r="V215" s="6"/>
      <c r="AD215" s="2"/>
      <c r="AE215" s="2"/>
      <c r="AL215" s="7"/>
    </row>
    <row r="216" spans="22:38" x14ac:dyDescent="0.25">
      <c r="V216" s="6"/>
      <c r="AL216" s="7"/>
    </row>
    <row r="217" spans="22:38" x14ac:dyDescent="0.25">
      <c r="V217" s="6"/>
      <c r="AL217" s="7"/>
    </row>
    <row r="218" spans="22:38" x14ac:dyDescent="0.25">
      <c r="V218" s="6"/>
      <c r="AL218" s="7"/>
    </row>
    <row r="219" spans="22:38" x14ac:dyDescent="0.25">
      <c r="V219" s="6"/>
      <c r="AL219" s="7"/>
    </row>
    <row r="220" spans="22:38" x14ac:dyDescent="0.25">
      <c r="V220" s="8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10"/>
    </row>
    <row r="231" spans="22:38" x14ac:dyDescent="0.25">
      <c r="V231" s="39" t="s">
        <v>115</v>
      </c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</row>
  </sheetData>
  <mergeCells count="8">
    <mergeCell ref="V231:AL231"/>
    <mergeCell ref="A1:B1"/>
    <mergeCell ref="A2:B2"/>
    <mergeCell ref="F26:R26"/>
    <mergeCell ref="V181:AL181"/>
    <mergeCell ref="V133:AL133"/>
    <mergeCell ref="V45:AL45"/>
    <mergeCell ref="V1:AL1"/>
  </mergeCells>
  <conditionalFormatting sqref="BD3">
    <cfRule type="cellIs" dxfId="1" priority="1" operator="equal">
      <formula>"No"</formula>
    </cfRule>
    <cfRule type="cellIs" dxfId="0" priority="2" operator="equal">
      <formula>"Yes"</formula>
    </cfRule>
  </conditionalFormatting>
  <dataValidations count="4">
    <dataValidation type="list" allowBlank="1" showInputMessage="1" showErrorMessage="1" sqref="B3" xr:uid="{0719AF74-D95E-429C-ACC8-E8D90DB7994E}">
      <formula1>"StandAlone,Consolidated,--"</formula1>
    </dataValidation>
    <dataValidation type="list" allowBlank="1" showInputMessage="1" showErrorMessage="1" sqref="BD3" xr:uid="{496E3A6E-DAA3-4DD1-9BEE-D7F73E3F0CB9}">
      <formula1>"Yes,No"</formula1>
    </dataValidation>
    <dataValidation type="list" allowBlank="1" showInputMessage="1" showErrorMessage="1" sqref="B4" xr:uid="{61EF3197-4EA2-4713-B064-B5CA67218A94}">
      <formula1>"Quarterly,Fundamental,Custom"</formula1>
    </dataValidation>
    <dataValidation type="list" allowBlank="1" showInputMessage="1" showErrorMessage="1" sqref="BF3" xr:uid="{98B607F3-0061-4568-B1C2-602799F734FF}">
      <formula1>"Average,Current Year"</formula1>
    </dataValidation>
  </dataValidations>
  <hyperlinks>
    <hyperlink ref="D8" location="PEERS_Table" display="Top Players" xr:uid="{CAD4E999-389D-4B6C-AD5B-42C978DAA833}"/>
    <hyperlink ref="D9" location="QUARTERS_Table" display="Quarterly Results" xr:uid="{F5B41AF8-F578-4072-B60B-3A6745884787}"/>
    <hyperlink ref="D10" location="BALSHEET_Table" display="Balance Sheet" xr:uid="{8EF9232B-1890-45A8-B8D4-FF2667CC7A93}"/>
    <hyperlink ref="D11" location="INCOMESTATEMENT_Table" display="Income Statement" xr:uid="{B977FF5D-17E3-4569-84AE-59E366045CC0}"/>
    <hyperlink ref="D12" location="CASHFLOWS_Table" display="Cash Flows" xr:uid="{22B1BE03-1C04-4081-B726-DFB6FBE4D3E5}"/>
    <hyperlink ref="D7" location="ABOUT_Focus" display="ABOUT_Focus" xr:uid="{7CCB6EB5-387A-4F55-B147-FFA9D014B478}"/>
    <hyperlink ref="D97" location="SEARCHBOX" display="Home" xr:uid="{EB04B316-E7C4-4D56-BD19-2F95DA2E2161}"/>
    <hyperlink ref="D144" location="SEARCHBOX" display="Home" xr:uid="{46B969AA-DEFA-4E4C-A42A-6F86E4E866F9}"/>
    <hyperlink ref="D47" location="SEARCHBOX" display="Home" xr:uid="{29812A07-A77B-419C-815F-4DBF296111AA}"/>
    <hyperlink ref="D162" location="SEARCHBOX" display="Home" xr:uid="{580FE8DF-D4F2-4483-87A9-052669AE82EE}"/>
    <hyperlink ref="D191" location="SEARCHBOX" display="Home" xr:uid="{34354C2C-928B-48C3-A527-1D86D87B7508}"/>
    <hyperlink ref="O49" r:id="rId1" xr:uid="{A33EB940-70BA-4E0A-975D-28421ADC405F}"/>
    <hyperlink ref="W24" r:id="rId2" xr:uid="{EDF87E2C-687E-42C1-99EF-CCC7145EAFFD}"/>
    <hyperlink ref="X24" r:id="rId3" xr:uid="{58A3189D-4D68-468D-99A8-80582FDCA160}"/>
    <hyperlink ref="Y24" r:id="rId4" xr:uid="{FBE6693D-0BB7-49F2-BAC3-9254392CBE1A}"/>
    <hyperlink ref="Z24" r:id="rId5" xr:uid="{0B14614D-1F18-406C-941C-4387EB9BE9CA}"/>
    <hyperlink ref="AA24" r:id="rId6" xr:uid="{D3A07B41-E950-4294-A110-B7BD0807C40A}"/>
    <hyperlink ref="AB24" r:id="rId7" xr:uid="{D74A0D39-D621-4945-96B9-6BB449D5144D}"/>
    <hyperlink ref="AC24" r:id="rId8" xr:uid="{D17B7BBF-D9AD-429F-BAA0-D9490235D37D}"/>
    <hyperlink ref="AD24" r:id="rId9" xr:uid="{06A13419-BE3F-4C97-A7ED-CD203E8E6D96}"/>
    <hyperlink ref="AE24" r:id="rId10" xr:uid="{AE8858FF-9E4E-46E4-8B5B-382D7FE7AD6F}"/>
    <hyperlink ref="AF24" r:id="rId11" xr:uid="{402F90DC-EEB0-4A3C-AAB5-F56EF5FCEB42}"/>
    <hyperlink ref="AG24" r:id="rId12" xr:uid="{BEBB84B7-F8C8-4D89-B6C5-824734543D0B}"/>
    <hyperlink ref="AH24" r:id="rId13" xr:uid="{E97F0D5B-D762-4EEF-97C1-FFD7A00647E3}"/>
    <hyperlink ref="AI24" r:id="rId14" xr:uid="{0D51334F-42CC-406F-99D1-88F2D98DA872}"/>
  </hyperlinks>
  <pageMargins left="0.7" right="0.7" top="0.75" bottom="0.75" header="0.3" footer="0.3"/>
  <pageSetup orientation="portrait" r:id="rId15"/>
  <drawing r:id="rId1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2A889-D4C1-45A5-B277-72CE2E1F82E1}">
  <sheetPr codeName="Sheet4"/>
  <dimension ref="A1:A5"/>
  <sheetViews>
    <sheetView workbookViewId="0">
      <selection activeCell="G6" sqref="G6:O72"/>
    </sheetView>
  </sheetViews>
  <sheetFormatPr defaultRowHeight="15" x14ac:dyDescent="0.25"/>
  <cols>
    <col min="7" max="7" width="70" bestFit="1" customWidth="1"/>
    <col min="8" max="12" width="11.28515625" bestFit="1" customWidth="1"/>
  </cols>
  <sheetData>
    <row r="1" spans="1:1" x14ac:dyDescent="0.25">
      <c r="A1" t="s">
        <v>76</v>
      </c>
    </row>
    <row r="2" spans="1:1" x14ac:dyDescent="0.25">
      <c r="A2" t="s">
        <v>77</v>
      </c>
    </row>
    <row r="3" spans="1:1" x14ac:dyDescent="0.25">
      <c r="A3" t="s">
        <v>78</v>
      </c>
    </row>
    <row r="4" spans="1:1" x14ac:dyDescent="0.25">
      <c r="A4" t="s">
        <v>79</v>
      </c>
    </row>
    <row r="5" spans="1:1" x14ac:dyDescent="0.25">
      <c r="A5" t="s">
        <v>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A3FE9-31AC-4E5F-B6B7-5540D7FD3B0E}">
  <sheetPr codeName="Sheet3"/>
  <dimension ref="A1:L4591"/>
  <sheetViews>
    <sheetView workbookViewId="0">
      <selection sqref="A1:B1"/>
    </sheetView>
  </sheetViews>
  <sheetFormatPr defaultRowHeight="15" x14ac:dyDescent="0.25"/>
  <cols>
    <col min="2" max="2" width="19.7109375" bestFit="1" customWidth="1"/>
  </cols>
  <sheetData>
    <row r="1" spans="1:3" x14ac:dyDescent="0.25">
      <c r="A1" s="14"/>
      <c r="B1" s="14"/>
      <c r="C1" s="13"/>
    </row>
    <row r="4591" spans="3:12" x14ac:dyDescent="0.25">
      <c r="C4591" t="s">
        <v>9</v>
      </c>
      <c r="L4591" t="s">
        <v>9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39469-BCE8-42F7-A987-8B993C4F46CD}">
  <sheetPr codeName="Sheet2"/>
  <dimension ref="A1"/>
  <sheetViews>
    <sheetView workbookViewId="0">
      <selection activeCell="D1" sqref="D1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79C97B4-3FB5-4AD9-AA1E-18348324698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26</vt:i4>
      </vt:variant>
    </vt:vector>
  </HeadingPairs>
  <TitlesOfParts>
    <vt:vector size="30" baseType="lpstr">
      <vt:lpstr>Stock Analysis</vt:lpstr>
      <vt:lpstr>Sheet1</vt:lpstr>
      <vt:lpstr>DataBase</vt:lpstr>
      <vt:lpstr>Portfolio Management</vt:lpstr>
      <vt:lpstr>ABOUT_Focus</vt:lpstr>
      <vt:lpstr>AnalysisView</vt:lpstr>
      <vt:lpstr>ANNUALREPORTS_Focus</vt:lpstr>
      <vt:lpstr>BALSHEET_Focus</vt:lpstr>
      <vt:lpstr>BALSHEET_Table</vt:lpstr>
      <vt:lpstr>CASHFLOWS_Focus</vt:lpstr>
      <vt:lpstr>CASHFLOWS_Table</vt:lpstr>
      <vt:lpstr>DIVIDEND_YELID</vt:lpstr>
      <vt:lpstr>FORMAT_o_Statements</vt:lpstr>
      <vt:lpstr>INCOMESTATEMENT_Focus</vt:lpstr>
      <vt:lpstr>INCOMESTATEMENT_Table</vt:lpstr>
      <vt:lpstr>MARKETCAP</vt:lpstr>
      <vt:lpstr>NEWS_Focus</vt:lpstr>
      <vt:lpstr>OVERVIEWFOCUS</vt:lpstr>
      <vt:lpstr>PE</vt:lpstr>
      <vt:lpstr>PEERS_Focus</vt:lpstr>
      <vt:lpstr>PEERS_Table</vt:lpstr>
      <vt:lpstr>QUARTERS_Focus</vt:lpstr>
      <vt:lpstr>QUARTERS_Table</vt:lpstr>
      <vt:lpstr>RATIOS_Focus</vt:lpstr>
      <vt:lpstr>ROE</vt:lpstr>
      <vt:lpstr>SEARCHBOX</vt:lpstr>
      <vt:lpstr>SECTOR</vt:lpstr>
      <vt:lpstr>SECTORPE</vt:lpstr>
      <vt:lpstr>SHAREHOLDINGS_Focus</vt:lpstr>
      <vt:lpstr>STOCKPRICE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devansh patil</dc:creator>
  <cp:lastModifiedBy>devansh patil</cp:lastModifiedBy>
  <dcterms:created xsi:type="dcterms:W3CDTF">2024-04-22T14:28:01Z</dcterms:created>
  <dcterms:modified xsi:type="dcterms:W3CDTF">2024-07-04T15:59:03Z</dcterms:modified>
</cp:coreProperties>
</file>